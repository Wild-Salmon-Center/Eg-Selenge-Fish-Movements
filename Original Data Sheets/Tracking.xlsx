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ongolia Program and ITI\Science\Eg-Uur Movement Data\Original Data Sheets\"/>
    </mc:Choice>
  </mc:AlternateContent>
  <xr:revisionPtr revIDLastSave="0" documentId="13_ncr:1_{31D109B3-AA5C-4F0E-AD8D-4CFE23A72D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iginal" sheetId="1" r:id="rId1"/>
    <sheet name="Tracking_transects" sheetId="2" r:id="rId2"/>
    <sheet name="Transects_corrected" sheetId="4" r:id="rId3"/>
    <sheet name="relocations_corrected_GP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4" l="1"/>
  <c r="H19" i="4"/>
  <c r="H17" i="4"/>
  <c r="H12" i="4"/>
  <c r="H8" i="4"/>
  <c r="H5" i="4"/>
  <c r="H4" i="4"/>
  <c r="G18" i="4"/>
  <c r="G19" i="4"/>
  <c r="G17" i="4"/>
  <c r="G12" i="4"/>
  <c r="G8" i="4"/>
  <c r="G5" i="4"/>
  <c r="G4" i="4"/>
  <c r="F16" i="4"/>
  <c r="F17" i="4"/>
  <c r="F18" i="4"/>
  <c r="F19" i="4"/>
  <c r="F15" i="4"/>
  <c r="F4" i="4"/>
  <c r="F5" i="4"/>
  <c r="F6" i="4"/>
  <c r="F7" i="4"/>
  <c r="F8" i="4"/>
  <c r="F9" i="4"/>
  <c r="F10" i="4"/>
  <c r="F11" i="4"/>
  <c r="F12" i="4"/>
  <c r="F13" i="4"/>
  <c r="F3" i="4"/>
  <c r="E17" i="4"/>
  <c r="E18" i="4"/>
  <c r="E19" i="4"/>
  <c r="E15" i="4"/>
  <c r="E5" i="4"/>
  <c r="E6" i="4"/>
  <c r="E7" i="4"/>
  <c r="E8" i="4"/>
  <c r="E9" i="4"/>
  <c r="E10" i="4"/>
  <c r="E11" i="4"/>
  <c r="E12" i="4"/>
  <c r="E13" i="4"/>
  <c r="E4" i="4"/>
  <c r="P16" i="4"/>
  <c r="P17" i="4"/>
  <c r="P18" i="4"/>
  <c r="P19" i="4"/>
  <c r="P15" i="4"/>
  <c r="P4" i="4"/>
  <c r="P5" i="4"/>
  <c r="P6" i="4"/>
  <c r="P7" i="4"/>
  <c r="P8" i="4"/>
  <c r="P9" i="4"/>
  <c r="P10" i="4"/>
  <c r="P11" i="4"/>
  <c r="P12" i="4"/>
  <c r="P13" i="4"/>
  <c r="P3" i="4"/>
  <c r="O16" i="4"/>
  <c r="O17" i="4"/>
  <c r="O18" i="4"/>
  <c r="O19" i="4"/>
  <c r="O15" i="4"/>
  <c r="O13" i="4"/>
  <c r="O4" i="4"/>
  <c r="O5" i="4"/>
  <c r="O6" i="4"/>
  <c r="O7" i="4"/>
  <c r="O8" i="4"/>
  <c r="O9" i="4"/>
  <c r="O10" i="4"/>
  <c r="O11" i="4"/>
  <c r="O12" i="4"/>
  <c r="O3" i="4"/>
  <c r="E3" i="4"/>
  <c r="M16" i="4"/>
  <c r="M17" i="4"/>
  <c r="M18" i="4"/>
  <c r="M19" i="4"/>
  <c r="M15" i="4"/>
  <c r="M4" i="4"/>
  <c r="M5" i="4"/>
  <c r="M6" i="4"/>
  <c r="M7" i="4"/>
  <c r="M8" i="4"/>
  <c r="M9" i="4"/>
  <c r="M10" i="4"/>
  <c r="M11" i="4"/>
  <c r="M12" i="4"/>
  <c r="M13" i="4"/>
  <c r="M3" i="4"/>
  <c r="L16" i="4"/>
  <c r="E16" i="4" s="1"/>
  <c r="L17" i="4"/>
  <c r="L18" i="4"/>
  <c r="L19" i="4"/>
  <c r="L15" i="4"/>
  <c r="L4" i="4"/>
  <c r="L5" i="4"/>
  <c r="L6" i="4"/>
  <c r="L7" i="4"/>
  <c r="L8" i="4"/>
  <c r="L9" i="4"/>
  <c r="L10" i="4"/>
  <c r="L11" i="4"/>
  <c r="L12" i="4"/>
  <c r="L13" i="4"/>
  <c r="L3" i="4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2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</calcChain>
</file>

<file path=xl/sharedStrings.xml><?xml version="1.0" encoding="utf-8"?>
<sst xmlns="http://schemas.openxmlformats.org/spreadsheetml/2006/main" count="874" uniqueCount="112">
  <si>
    <t>№</t>
  </si>
  <si>
    <t>Species</t>
  </si>
  <si>
    <t>Date</t>
  </si>
  <si>
    <t>Code</t>
  </si>
  <si>
    <t xml:space="preserve">River </t>
  </si>
  <si>
    <t>Latitute</t>
  </si>
  <si>
    <t>Longitute</t>
  </si>
  <si>
    <t>White fish</t>
  </si>
  <si>
    <t>Lenok</t>
  </si>
  <si>
    <t xml:space="preserve">Pike </t>
  </si>
  <si>
    <t>Perch</t>
  </si>
  <si>
    <t>Taimen</t>
  </si>
  <si>
    <t xml:space="preserve">  </t>
  </si>
  <si>
    <t>Selenge</t>
  </si>
  <si>
    <t>Eg</t>
  </si>
  <si>
    <r>
      <rPr>
        <b/>
        <sz val="16"/>
        <color theme="1"/>
        <rFont val="Calibri"/>
        <family val="2"/>
        <scheme val="minor"/>
      </rPr>
      <t>Tracking data</t>
    </r>
    <r>
      <rPr>
        <b/>
        <sz val="11"/>
        <color theme="1"/>
        <rFont val="Calibri"/>
        <family val="2"/>
        <scheme val="minor"/>
      </rPr>
      <t xml:space="preserve"> (April &amp;May 2015 )</t>
    </r>
  </si>
  <si>
    <t>date</t>
  </si>
  <si>
    <t>start point</t>
  </si>
  <si>
    <t>end tracking</t>
  </si>
  <si>
    <t>river</t>
  </si>
  <si>
    <t>N- 49.36346 E-103.53986</t>
  </si>
  <si>
    <t>EG Selenge confluence</t>
  </si>
  <si>
    <t>N- 4921269 E- 10331092</t>
  </si>
  <si>
    <t>N- 4926539 E- 10327013</t>
  </si>
  <si>
    <t>N- 4923349  E- 10339343</t>
  </si>
  <si>
    <t>N- 4918317 E- 10339235</t>
  </si>
  <si>
    <t>N- 4922552 E- 10337101</t>
  </si>
  <si>
    <t>Hujir river</t>
  </si>
  <si>
    <t>N- 4925224 E- 10338075</t>
  </si>
  <si>
    <t>EG</t>
  </si>
  <si>
    <t>N- 4923150 E- 10338478</t>
  </si>
  <si>
    <t>N- 4923193 E- 10338498</t>
  </si>
  <si>
    <t>N- 4925465 E- 10344354</t>
  </si>
  <si>
    <t>N- 4923185 E- 10338479</t>
  </si>
  <si>
    <t>Dace master creek</t>
  </si>
  <si>
    <t>Selenege</t>
  </si>
  <si>
    <t>N- 4920480 E-10327523</t>
  </si>
  <si>
    <t>N- 4924329 E- 10338299</t>
  </si>
  <si>
    <t>N-4923283 E-10338268</t>
  </si>
  <si>
    <t>N-4925471 E-10343544</t>
  </si>
  <si>
    <t>N-4935563 E- 10311017</t>
  </si>
  <si>
    <t>Home pool</t>
  </si>
  <si>
    <t>N-4924283 E- 10338262</t>
  </si>
  <si>
    <t xml:space="preserve">Time track upper Eg river </t>
  </si>
  <si>
    <t>N- 4927009 E-10327269</t>
  </si>
  <si>
    <t>N-4926567 E-10327417</t>
  </si>
  <si>
    <t>N-4923240 E-10337179</t>
  </si>
  <si>
    <t>N-4927002 E-10327428</t>
  </si>
  <si>
    <t>N-4924153 E-10338113</t>
  </si>
  <si>
    <t>2015/05/</t>
  </si>
  <si>
    <t>N-4923214 E- 10338187</t>
  </si>
  <si>
    <t>N-4927207 E- 10349126</t>
  </si>
  <si>
    <t>Start and End Points</t>
  </si>
  <si>
    <t>Comment</t>
  </si>
  <si>
    <t>Tagging site</t>
  </si>
  <si>
    <t>Tagging site "Baby"</t>
  </si>
  <si>
    <t>Tagging site "Lover"</t>
  </si>
  <si>
    <t>"Frozen"</t>
  </si>
  <si>
    <t>Column1</t>
  </si>
  <si>
    <t>Column2</t>
  </si>
  <si>
    <t>Column3</t>
  </si>
  <si>
    <t>Column4</t>
  </si>
  <si>
    <t>Start_Latitude</t>
  </si>
  <si>
    <t>Start_Longitude</t>
  </si>
  <si>
    <t>End_Latitude</t>
  </si>
  <si>
    <t>End_Longitude</t>
  </si>
  <si>
    <t>Eg home to Selenge right channel</t>
  </si>
  <si>
    <t>ZZ Creek</t>
  </si>
  <si>
    <t>Left channel below Eg Selenge confluence</t>
  </si>
  <si>
    <t>Eg-Selenge Confluence</t>
  </si>
  <si>
    <t>Tagging site "Hangover"</t>
  </si>
  <si>
    <t>above Hantai</t>
  </si>
  <si>
    <t>Bugsae</t>
  </si>
  <si>
    <t>eg</t>
  </si>
  <si>
    <t>Camp</t>
  </si>
  <si>
    <t>Tagging site "Fighter"</t>
  </si>
  <si>
    <t>Not decimal degrees! Degrees.mm.sss</t>
  </si>
  <si>
    <t>Comment2</t>
  </si>
  <si>
    <t>Length</t>
  </si>
  <si>
    <t>Comments</t>
  </si>
  <si>
    <t>Column5</t>
  </si>
  <si>
    <t>Lat-deg</t>
  </si>
  <si>
    <t>Lat-min</t>
  </si>
  <si>
    <t>Lat-sec</t>
  </si>
  <si>
    <t>Column12</t>
  </si>
  <si>
    <t>Number</t>
  </si>
  <si>
    <t>River</t>
  </si>
  <si>
    <t>Lat_dd</t>
  </si>
  <si>
    <t>Lat_mm</t>
  </si>
  <si>
    <t>Lat_sss</t>
  </si>
  <si>
    <t>Lat_calc</t>
  </si>
  <si>
    <t>Lon</t>
  </si>
  <si>
    <t>Comment1</t>
  </si>
  <si>
    <t>Length(mm)</t>
  </si>
  <si>
    <t>Checked location again that evening</t>
  </si>
  <si>
    <t>Left channel below Eg Selenge Confluence</t>
  </si>
  <si>
    <t>Below Teshig</t>
  </si>
  <si>
    <t>No fish.  Weak signal from big tag (151.11) but couldn't get code</t>
  </si>
  <si>
    <t>Found during NGS float trip</t>
  </si>
  <si>
    <t>start point_LAT</t>
  </si>
  <si>
    <t>start point_LONG</t>
  </si>
  <si>
    <t>start_lat</t>
  </si>
  <si>
    <t>start_long</t>
  </si>
  <si>
    <t>end_lat</t>
  </si>
  <si>
    <t>end_long</t>
  </si>
  <si>
    <t>transect</t>
  </si>
  <si>
    <t>lat_deg</t>
  </si>
  <si>
    <t>lat_mm</t>
  </si>
  <si>
    <t>lat_sss</t>
  </si>
  <si>
    <t>long_deg</t>
  </si>
  <si>
    <t>long_mm</t>
  </si>
  <si>
    <t>long_sss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</si>
</sst>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14" fontId="0" fillId="0" borderId="0" xfId="0" applyNumberFormat="1"/>
    <xf numFmtId="0" fontId="0" fillId="2" borderId="2" xfId="0" applyFill="1" applyBorder="1"/>
    <xf numFmtId="0" fontId="0" fillId="3" borderId="2" xfId="0" applyFill="1" applyBorder="1"/>
    <xf numFmtId="164" fontId="0" fillId="0" borderId="1" xfId="0" applyNumberFormat="1" applyBorder="1"/>
    <xf numFmtId="164" fontId="0" fillId="0" borderId="0" xfId="0" applyNumberFormat="1"/>
    <xf numFmtId="0" fontId="0" fillId="4" borderId="1" xfId="0" applyFill="1" applyBorder="1"/>
    <xf numFmtId="0" fontId="0" fillId="4" borderId="0" xfId="0" applyFill="1"/>
    <xf numFmtId="164" fontId="0" fillId="4" borderId="0" xfId="0" applyNumberFormat="1" applyFill="1"/>
    <xf numFmtId="14" fontId="0" fillId="4" borderId="0" xfId="0" applyNumberFormat="1" applyFill="1"/>
    <xf numFmtId="164" fontId="0" fillId="4" borderId="1" xfId="0" applyNumberFormat="1" applyFill="1" applyBorder="1"/>
    <xf numFmtId="14" fontId="0" fillId="4" borderId="1" xfId="0" applyNumberFormat="1" applyFill="1" applyBorder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I128" totalsRowShown="0">
  <autoFilter ref="A3:I128" xr:uid="{00000000-0009-0000-0100-000001000000}"/>
  <tableColumns count="9">
    <tableColumn id="1" xr3:uid="{00000000-0010-0000-0000-000001000000}" name="№"/>
    <tableColumn id="2" xr3:uid="{00000000-0010-0000-0000-000002000000}" name="Code"/>
    <tableColumn id="3" xr3:uid="{00000000-0010-0000-0000-000003000000}" name="River "/>
    <tableColumn id="4" xr3:uid="{00000000-0010-0000-0000-000004000000}" name="Species"/>
    <tableColumn id="5" xr3:uid="{00000000-0010-0000-0000-000005000000}" name="Latitute"/>
    <tableColumn id="8" xr3:uid="{00000000-0010-0000-0000-000008000000}" name="Column2"/>
    <tableColumn id="7" xr3:uid="{00000000-0010-0000-0000-000007000000}" name="Column1"/>
    <tableColumn id="10" xr3:uid="{00000000-0010-0000-0000-00000A000000}" name="Column12" dataDxfId="3">
      <calculatedColumnFormula>49+(Table1[[#This Row],[Column2]]/60)+Table1[[#This Row],[Column1]]/36000</calculatedColumnFormula>
    </tableColumn>
    <tableColumn id="6" xr3:uid="{00000000-0010-0000-0000-000006000000}" name="Longitut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J3:R127" totalsRowShown="0">
  <autoFilter ref="J3:R127" xr:uid="{00000000-0009-0000-0100-000002000000}"/>
  <tableColumns count="9">
    <tableColumn id="1" xr3:uid="{00000000-0010-0000-0100-000001000000}" name="Date"/>
    <tableColumn id="2" xr3:uid="{00000000-0010-0000-0100-000002000000}" name="Comment"/>
    <tableColumn id="4" xr3:uid="{00000000-0010-0000-0100-000004000000}" name="Comment2"/>
    <tableColumn id="5" xr3:uid="{00000000-0010-0000-0100-000005000000}" name="Length"/>
    <tableColumn id="9" xr3:uid="{00000000-0010-0000-0100-000009000000}" name="Column5"/>
    <tableColumn id="8" xr3:uid="{00000000-0010-0000-0100-000008000000}" name="Column4"/>
    <tableColumn id="7" xr3:uid="{00000000-0010-0000-0100-000007000000}" name="Column3"/>
    <tableColumn id="6" xr3:uid="{00000000-0010-0000-0100-000006000000}" name="Column2"/>
    <tableColumn id="3" xr3:uid="{00000000-0010-0000-0100-000003000000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S3:AB27" totalsRowShown="0">
  <autoFilter ref="S3:AB27" xr:uid="{00000000-0009-0000-0100-000003000000}"/>
  <tableColumns count="10">
    <tableColumn id="1" xr3:uid="{00000000-0010-0000-0200-000001000000}" name="№"/>
    <tableColumn id="2" xr3:uid="{00000000-0010-0000-0200-000002000000}" name="date"/>
    <tableColumn id="3" xr3:uid="{00000000-0010-0000-0200-000003000000}" name="start point"/>
    <tableColumn id="8" xr3:uid="{00000000-0010-0000-0200-000008000000}" name="Start_Latitude"/>
    <tableColumn id="7" xr3:uid="{00000000-0010-0000-0200-000007000000}" name="Start_Longitude"/>
    <tableColumn id="6" xr3:uid="{00000000-0010-0000-0200-000006000000}" name="End_Latitude"/>
    <tableColumn id="5" xr3:uid="{00000000-0010-0000-0200-000005000000}" name="End_Longitude"/>
    <tableColumn id="4" xr3:uid="{00000000-0010-0000-0200-000004000000}" name="end tracking"/>
    <tableColumn id="9" xr3:uid="{00000000-0010-0000-0200-000009000000}" name="river"/>
    <tableColumn id="10" xr3:uid="{00000000-0010-0000-0200-00000A000000}" name="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8"/>
  <sheetViews>
    <sheetView tabSelected="1" zoomScaleNormal="100" workbookViewId="0">
      <selection activeCell="D120" sqref="D120"/>
    </sheetView>
  </sheetViews>
  <sheetFormatPr defaultRowHeight="15" x14ac:dyDescent="0.25"/>
  <cols>
    <col min="1" max="1" width="4.85546875" customWidth="1"/>
    <col min="2" max="2" width="14.85546875" customWidth="1"/>
    <col min="3" max="3" width="14" customWidth="1"/>
    <col min="4" max="4" width="15.5703125" customWidth="1"/>
    <col min="5" max="7" width="15.140625" customWidth="1"/>
    <col min="8" max="8" width="14.28515625" customWidth="1"/>
    <col min="9" max="9" width="12.140625" customWidth="1"/>
    <col min="10" max="10" width="35.7109375" bestFit="1" customWidth="1"/>
    <col min="11" max="16" width="35.7109375" customWidth="1"/>
    <col min="18" max="18" width="18.85546875" bestFit="1" customWidth="1"/>
    <col min="19" max="19" width="9.7109375" bestFit="1" customWidth="1"/>
    <col min="20" max="20" width="23.7109375" bestFit="1" customWidth="1"/>
    <col min="21" max="24" width="23.7109375" customWidth="1"/>
    <col min="25" max="25" width="22" bestFit="1" customWidth="1"/>
    <col min="26" max="26" width="9.85546875" bestFit="1" customWidth="1"/>
  </cols>
  <sheetData>
    <row r="1" spans="1:28" ht="21" x14ac:dyDescent="0.35">
      <c r="A1" s="1"/>
      <c r="B1" s="4" t="s">
        <v>15</v>
      </c>
      <c r="R1" t="s">
        <v>52</v>
      </c>
    </row>
    <row r="3" spans="1:28" x14ac:dyDescent="0.25">
      <c r="A3" t="s">
        <v>0</v>
      </c>
      <c r="B3" t="s">
        <v>3</v>
      </c>
      <c r="C3" t="s">
        <v>4</v>
      </c>
      <c r="D3" t="s">
        <v>1</v>
      </c>
      <c r="E3" t="s">
        <v>5</v>
      </c>
      <c r="F3" t="s">
        <v>59</v>
      </c>
      <c r="G3" t="s">
        <v>58</v>
      </c>
      <c r="H3" t="s">
        <v>84</v>
      </c>
      <c r="I3" t="s">
        <v>6</v>
      </c>
      <c r="J3" t="s">
        <v>2</v>
      </c>
      <c r="K3" t="s">
        <v>53</v>
      </c>
      <c r="L3" t="s">
        <v>77</v>
      </c>
      <c r="M3" t="s">
        <v>78</v>
      </c>
      <c r="N3" t="s">
        <v>80</v>
      </c>
      <c r="O3" t="s">
        <v>61</v>
      </c>
      <c r="P3" t="s">
        <v>60</v>
      </c>
      <c r="Q3" t="s">
        <v>59</v>
      </c>
      <c r="R3" t="s">
        <v>58</v>
      </c>
      <c r="S3" t="s">
        <v>0</v>
      </c>
      <c r="T3" t="s">
        <v>16</v>
      </c>
      <c r="U3" t="s">
        <v>17</v>
      </c>
      <c r="V3" t="s">
        <v>62</v>
      </c>
      <c r="W3" t="s">
        <v>63</v>
      </c>
      <c r="X3" t="s">
        <v>64</v>
      </c>
      <c r="Y3" t="s">
        <v>65</v>
      </c>
      <c r="Z3" t="s">
        <v>18</v>
      </c>
      <c r="AA3" t="s">
        <v>19</v>
      </c>
      <c r="AB3" t="s">
        <v>79</v>
      </c>
    </row>
    <row r="4" spans="1:28" x14ac:dyDescent="0.25">
      <c r="A4" s="2">
        <v>1</v>
      </c>
      <c r="B4" s="2">
        <v>153</v>
      </c>
      <c r="C4" s="2" t="s">
        <v>13</v>
      </c>
      <c r="D4" s="2" t="s">
        <v>7</v>
      </c>
      <c r="E4" s="2">
        <v>49</v>
      </c>
      <c r="F4" s="2">
        <v>21</v>
      </c>
      <c r="G4" s="2">
        <v>5</v>
      </c>
      <c r="H4" s="2">
        <f>49+(Table1[[#This Row],[Column2]]/60)+Table1[[#This Row],[Column1]]/36000</f>
        <v>49.350138888888893</v>
      </c>
      <c r="I4" s="8">
        <v>103.33453</v>
      </c>
      <c r="J4" s="3">
        <v>42109</v>
      </c>
      <c r="K4" t="s">
        <v>76</v>
      </c>
      <c r="N4" t="s">
        <v>81</v>
      </c>
      <c r="O4" t="s">
        <v>82</v>
      </c>
      <c r="P4" t="s">
        <v>83</v>
      </c>
      <c r="S4">
        <v>1</v>
      </c>
      <c r="T4" s="5">
        <v>42109</v>
      </c>
      <c r="U4" t="s">
        <v>20</v>
      </c>
      <c r="V4" s="7">
        <v>49.363460000000003</v>
      </c>
      <c r="W4">
        <v>103.53986</v>
      </c>
      <c r="Z4" t="s">
        <v>21</v>
      </c>
      <c r="AA4" t="s">
        <v>13</v>
      </c>
      <c r="AB4" t="s">
        <v>76</v>
      </c>
    </row>
    <row r="5" spans="1:28" x14ac:dyDescent="0.25">
      <c r="A5" s="2">
        <v>2</v>
      </c>
      <c r="B5" s="2">
        <v>207</v>
      </c>
      <c r="C5" s="2" t="s">
        <v>13</v>
      </c>
      <c r="D5" s="2" t="s">
        <v>8</v>
      </c>
      <c r="E5" s="2">
        <v>49</v>
      </c>
      <c r="F5" s="2">
        <v>23</v>
      </c>
      <c r="G5" s="2">
        <v>153</v>
      </c>
      <c r="H5" s="2">
        <f>49+(Table1[[#This Row],[Column2]]/60)+Table1[[#This Row],[Column1]]/36000</f>
        <v>49.387583333333332</v>
      </c>
      <c r="I5" s="8">
        <v>103.38355</v>
      </c>
      <c r="J5" s="3">
        <v>42111</v>
      </c>
      <c r="K5" t="s">
        <v>76</v>
      </c>
      <c r="L5" t="s">
        <v>54</v>
      </c>
      <c r="M5">
        <v>417</v>
      </c>
      <c r="S5">
        <v>2</v>
      </c>
      <c r="T5" s="5">
        <v>42113</v>
      </c>
      <c r="U5" t="s">
        <v>22</v>
      </c>
      <c r="V5" s="6">
        <v>49.212690000000002</v>
      </c>
      <c r="W5">
        <v>103.31092</v>
      </c>
      <c r="Z5" t="s">
        <v>21</v>
      </c>
      <c r="AB5" t="s">
        <v>76</v>
      </c>
    </row>
    <row r="6" spans="1:28" x14ac:dyDescent="0.25">
      <c r="A6" s="2">
        <v>3</v>
      </c>
      <c r="B6" s="2">
        <v>206</v>
      </c>
      <c r="C6" s="2" t="s">
        <v>13</v>
      </c>
      <c r="D6" s="2" t="s">
        <v>8</v>
      </c>
      <c r="E6" s="2">
        <v>49</v>
      </c>
      <c r="F6" s="2">
        <v>23</v>
      </c>
      <c r="G6" s="2">
        <v>153</v>
      </c>
      <c r="H6" s="2">
        <f>49+(Table1[[#This Row],[Column2]]/60)+Table1[[#This Row],[Column1]]/36000</f>
        <v>49.387583333333332</v>
      </c>
      <c r="I6" s="8">
        <v>103.38355</v>
      </c>
      <c r="J6" s="3">
        <v>42112</v>
      </c>
      <c r="K6" t="s">
        <v>76</v>
      </c>
      <c r="L6" t="s">
        <v>54</v>
      </c>
      <c r="M6">
        <v>440</v>
      </c>
      <c r="S6">
        <v>3</v>
      </c>
      <c r="T6" s="5">
        <v>42115</v>
      </c>
      <c r="U6" t="s">
        <v>23</v>
      </c>
      <c r="V6" s="7">
        <v>49.265389999999996</v>
      </c>
      <c r="W6">
        <v>103.27012999999999</v>
      </c>
      <c r="Z6" t="s">
        <v>24</v>
      </c>
      <c r="AA6" t="s">
        <v>14</v>
      </c>
      <c r="AB6" t="s">
        <v>76</v>
      </c>
    </row>
    <row r="7" spans="1:28" x14ac:dyDescent="0.25">
      <c r="A7" s="2">
        <v>4</v>
      </c>
      <c r="B7" s="2">
        <v>207</v>
      </c>
      <c r="C7" s="2" t="s">
        <v>13</v>
      </c>
      <c r="D7" s="2" t="s">
        <v>8</v>
      </c>
      <c r="E7" s="2">
        <v>49</v>
      </c>
      <c r="F7" s="2">
        <v>23</v>
      </c>
      <c r="G7" s="2">
        <v>144</v>
      </c>
      <c r="H7" s="2">
        <f>49+(Table1[[#This Row],[Column2]]/60)+Table1[[#This Row],[Column1]]/36000</f>
        <v>49.387333333333331</v>
      </c>
      <c r="I7" s="8">
        <v>103.38333</v>
      </c>
      <c r="J7" s="3">
        <v>42112</v>
      </c>
      <c r="K7" t="s">
        <v>76</v>
      </c>
      <c r="S7">
        <v>4</v>
      </c>
      <c r="T7" s="5">
        <v>42117</v>
      </c>
      <c r="U7" t="s">
        <v>25</v>
      </c>
      <c r="V7" s="6">
        <v>49.183169999999997</v>
      </c>
      <c r="W7">
        <v>103.39234999999999</v>
      </c>
      <c r="Z7" t="s">
        <v>26</v>
      </c>
      <c r="AA7" t="s">
        <v>27</v>
      </c>
      <c r="AB7" t="s">
        <v>76</v>
      </c>
    </row>
    <row r="8" spans="1:28" x14ac:dyDescent="0.25">
      <c r="A8" s="2">
        <v>5</v>
      </c>
      <c r="B8" s="2">
        <v>206</v>
      </c>
      <c r="C8" s="2" t="s">
        <v>13</v>
      </c>
      <c r="D8" s="2" t="s">
        <v>8</v>
      </c>
      <c r="E8" s="2">
        <v>49</v>
      </c>
      <c r="F8" s="2">
        <v>23</v>
      </c>
      <c r="G8" s="2">
        <v>146</v>
      </c>
      <c r="H8" s="2">
        <f>49+(Table1[[#This Row],[Column2]]/60)+Table1[[#This Row],[Column1]]/36000</f>
        <v>49.387388888888886</v>
      </c>
      <c r="I8" s="8">
        <v>103.38352999999999</v>
      </c>
      <c r="J8" s="3">
        <v>42112</v>
      </c>
      <c r="K8" t="s">
        <v>76</v>
      </c>
      <c r="S8">
        <v>5</v>
      </c>
      <c r="T8" s="5">
        <v>42119</v>
      </c>
      <c r="U8" t="s">
        <v>28</v>
      </c>
      <c r="V8" s="7">
        <v>49.25224</v>
      </c>
      <c r="W8">
        <v>103.38075000000001</v>
      </c>
      <c r="AA8" t="s">
        <v>29</v>
      </c>
      <c r="AB8" t="s">
        <v>76</v>
      </c>
    </row>
    <row r="9" spans="1:28" x14ac:dyDescent="0.25">
      <c r="A9" s="2">
        <v>6</v>
      </c>
      <c r="B9" s="2">
        <v>204</v>
      </c>
      <c r="C9" s="2" t="s">
        <v>13</v>
      </c>
      <c r="D9" s="2" t="s">
        <v>8</v>
      </c>
      <c r="E9" s="2">
        <v>49</v>
      </c>
      <c r="F9" s="2">
        <v>23</v>
      </c>
      <c r="G9" s="2">
        <v>152</v>
      </c>
      <c r="H9" s="2">
        <f>49+(Table1[[#This Row],[Column2]]/60)+Table1[[#This Row],[Column1]]/36000</f>
        <v>49.387555555555558</v>
      </c>
      <c r="I9" s="8">
        <v>103.38354</v>
      </c>
      <c r="J9" s="3">
        <v>42113</v>
      </c>
      <c r="K9" t="s">
        <v>76</v>
      </c>
      <c r="L9" t="s">
        <v>54</v>
      </c>
      <c r="S9">
        <v>6</v>
      </c>
      <c r="T9" s="5">
        <v>42119</v>
      </c>
      <c r="U9" t="s">
        <v>30</v>
      </c>
      <c r="V9" s="6">
        <v>49.231499999999997</v>
      </c>
      <c r="W9">
        <v>103.38478000000001</v>
      </c>
      <c r="Z9" t="s">
        <v>21</v>
      </c>
      <c r="AA9" t="s">
        <v>13</v>
      </c>
      <c r="AB9" t="s">
        <v>76</v>
      </c>
    </row>
    <row r="10" spans="1:28" x14ac:dyDescent="0.25">
      <c r="A10" s="2">
        <v>7</v>
      </c>
      <c r="B10" s="2">
        <v>153</v>
      </c>
      <c r="C10" s="2" t="s">
        <v>13</v>
      </c>
      <c r="D10" s="2" t="s">
        <v>7</v>
      </c>
      <c r="E10" s="2">
        <v>49</v>
      </c>
      <c r="F10" s="2">
        <v>23</v>
      </c>
      <c r="G10" s="2">
        <v>293</v>
      </c>
      <c r="H10" s="2">
        <f>49+(Table1[[#This Row],[Column2]]/60)+Table1[[#This Row],[Column1]]/36000</f>
        <v>49.39147222222222</v>
      </c>
      <c r="I10" s="8">
        <v>103.37148000000001</v>
      </c>
      <c r="J10" s="3">
        <v>42114</v>
      </c>
      <c r="K10" t="s">
        <v>76</v>
      </c>
      <c r="S10">
        <v>7</v>
      </c>
      <c r="T10" s="5">
        <v>42120</v>
      </c>
      <c r="U10" t="s">
        <v>31</v>
      </c>
      <c r="V10" s="7">
        <v>49.231929999999998</v>
      </c>
      <c r="W10">
        <v>103.38498</v>
      </c>
      <c r="Z10" t="s">
        <v>32</v>
      </c>
      <c r="AB10" t="s">
        <v>76</v>
      </c>
    </row>
    <row r="11" spans="1:28" x14ac:dyDescent="0.25">
      <c r="A11" s="2">
        <v>8</v>
      </c>
      <c r="B11" s="2">
        <v>204</v>
      </c>
      <c r="C11" s="2" t="s">
        <v>13</v>
      </c>
      <c r="D11" s="2" t="s">
        <v>8</v>
      </c>
      <c r="E11" s="2">
        <v>49</v>
      </c>
      <c r="F11" s="2">
        <v>23</v>
      </c>
      <c r="G11" s="2">
        <v>103</v>
      </c>
      <c r="H11" s="2">
        <f>49+(Table1[[#This Row],[Column2]]/60)+Table1[[#This Row],[Column1]]/36000</f>
        <v>49.386194444444442</v>
      </c>
      <c r="I11" s="8">
        <v>103.38326000000001</v>
      </c>
      <c r="J11" s="3">
        <v>42114</v>
      </c>
      <c r="K11" t="s">
        <v>76</v>
      </c>
      <c r="S11">
        <v>8</v>
      </c>
      <c r="T11" s="5">
        <v>42121</v>
      </c>
      <c r="U11" t="s">
        <v>33</v>
      </c>
      <c r="V11" s="6">
        <v>49.231850000000001</v>
      </c>
      <c r="W11">
        <v>103.38479</v>
      </c>
      <c r="Z11" t="s">
        <v>34</v>
      </c>
      <c r="AA11" t="s">
        <v>35</v>
      </c>
      <c r="AB11" t="s">
        <v>76</v>
      </c>
    </row>
    <row r="12" spans="1:28" x14ac:dyDescent="0.25">
      <c r="A12" s="2">
        <v>9</v>
      </c>
      <c r="B12" s="2">
        <v>154</v>
      </c>
      <c r="C12" s="2" t="s">
        <v>14</v>
      </c>
      <c r="D12" s="2"/>
      <c r="E12" s="2">
        <v>49</v>
      </c>
      <c r="F12" s="2">
        <v>26</v>
      </c>
      <c r="G12" s="2">
        <v>445</v>
      </c>
      <c r="H12" s="2">
        <f>49+(Table1[[#This Row],[Column2]]/60)+Table1[[#This Row],[Column1]]/36000</f>
        <v>49.445694444444442</v>
      </c>
      <c r="I12" s="8">
        <v>103.28185000000001</v>
      </c>
      <c r="J12" s="3">
        <v>42115</v>
      </c>
      <c r="K12" t="s">
        <v>76</v>
      </c>
      <c r="S12">
        <v>9</v>
      </c>
      <c r="T12" s="5">
        <v>42121</v>
      </c>
      <c r="U12" t="s">
        <v>36</v>
      </c>
      <c r="V12" s="7">
        <v>49.204799999999999</v>
      </c>
      <c r="W12">
        <v>103.27522999999999</v>
      </c>
      <c r="Z12" t="s">
        <v>21</v>
      </c>
      <c r="AA12" t="s">
        <v>13</v>
      </c>
      <c r="AB12" t="s">
        <v>76</v>
      </c>
    </row>
    <row r="13" spans="1:28" x14ac:dyDescent="0.25">
      <c r="A13" s="2">
        <v>10</v>
      </c>
      <c r="B13" s="2">
        <v>157</v>
      </c>
      <c r="C13" s="2" t="s">
        <v>14</v>
      </c>
      <c r="D13" s="2"/>
      <c r="E13" s="2">
        <v>49</v>
      </c>
      <c r="F13" s="2">
        <v>26</v>
      </c>
      <c r="G13" s="2">
        <v>327</v>
      </c>
      <c r="H13" s="2">
        <f>49+(Table1[[#This Row],[Column2]]/60)+Table1[[#This Row],[Column1]]/36000</f>
        <v>49.442416666666666</v>
      </c>
      <c r="I13" s="8">
        <v>103.29181</v>
      </c>
      <c r="J13" s="3">
        <v>42115</v>
      </c>
      <c r="K13" t="s">
        <v>76</v>
      </c>
      <c r="S13">
        <v>10</v>
      </c>
      <c r="T13" s="5">
        <v>42121</v>
      </c>
      <c r="U13" t="s">
        <v>37</v>
      </c>
      <c r="V13" s="6">
        <v>49.243290000000002</v>
      </c>
      <c r="W13">
        <v>103.38299000000001</v>
      </c>
      <c r="Z13" t="s">
        <v>21</v>
      </c>
      <c r="AA13" t="s">
        <v>14</v>
      </c>
      <c r="AB13" t="s">
        <v>76</v>
      </c>
    </row>
    <row r="14" spans="1:28" x14ac:dyDescent="0.25">
      <c r="A14" s="2">
        <v>11</v>
      </c>
      <c r="B14" s="2">
        <v>151</v>
      </c>
      <c r="C14" s="2" t="s">
        <v>14</v>
      </c>
      <c r="D14" s="2"/>
      <c r="E14" s="2">
        <v>49</v>
      </c>
      <c r="F14" s="2">
        <v>25</v>
      </c>
      <c r="G14" s="2">
        <v>541</v>
      </c>
      <c r="H14" s="2">
        <f>49+(Table1[[#This Row],[Column2]]/60)+Table1[[#This Row],[Column1]]/36000</f>
        <v>49.431694444444439</v>
      </c>
      <c r="I14" s="8">
        <v>103.30104</v>
      </c>
      <c r="J14" s="3">
        <v>42115</v>
      </c>
      <c r="K14" t="s">
        <v>76</v>
      </c>
      <c r="S14">
        <v>11</v>
      </c>
      <c r="T14" s="5">
        <v>42122</v>
      </c>
      <c r="U14" t="s">
        <v>38</v>
      </c>
      <c r="V14" s="7">
        <v>49.23283</v>
      </c>
      <c r="W14">
        <v>103.38267999999999</v>
      </c>
      <c r="Z14" t="s">
        <v>39</v>
      </c>
      <c r="AA14" t="s">
        <v>13</v>
      </c>
      <c r="AB14" t="s">
        <v>76</v>
      </c>
    </row>
    <row r="15" spans="1:28" x14ac:dyDescent="0.25">
      <c r="A15" s="2">
        <v>12</v>
      </c>
      <c r="B15" s="2">
        <v>155</v>
      </c>
      <c r="C15" s="2" t="s">
        <v>14</v>
      </c>
      <c r="D15" s="2"/>
      <c r="E15" s="2">
        <v>49</v>
      </c>
      <c r="F15" s="2">
        <v>25</v>
      </c>
      <c r="G15" s="2">
        <v>383</v>
      </c>
      <c r="H15" s="2">
        <f>49+(Table1[[#This Row],[Column2]]/60)+Table1[[#This Row],[Column1]]/36000</f>
        <v>49.427305555555556</v>
      </c>
      <c r="I15" s="8">
        <v>103.3038</v>
      </c>
      <c r="J15" s="3">
        <v>42115</v>
      </c>
      <c r="K15" t="s">
        <v>76</v>
      </c>
      <c r="S15">
        <v>12</v>
      </c>
      <c r="T15" s="5">
        <v>42123</v>
      </c>
      <c r="U15" t="s">
        <v>40</v>
      </c>
      <c r="V15" s="6">
        <v>49.355629999999998</v>
      </c>
      <c r="W15">
        <v>103.11017</v>
      </c>
      <c r="Z15" t="s">
        <v>41</v>
      </c>
      <c r="AA15" t="s">
        <v>14</v>
      </c>
      <c r="AB15" t="s">
        <v>76</v>
      </c>
    </row>
    <row r="16" spans="1:28" x14ac:dyDescent="0.25">
      <c r="A16" s="2">
        <v>13</v>
      </c>
      <c r="B16" s="2">
        <v>156</v>
      </c>
      <c r="C16" s="2" t="s">
        <v>14</v>
      </c>
      <c r="D16" s="2"/>
      <c r="E16" s="2">
        <v>49</v>
      </c>
      <c r="F16" s="2">
        <v>25</v>
      </c>
      <c r="G16" s="2">
        <v>575</v>
      </c>
      <c r="H16" s="2">
        <f>49+(Table1[[#This Row],[Column2]]/60)+Table1[[#This Row],[Column1]]/36000</f>
        <v>49.432638888888889</v>
      </c>
      <c r="I16" s="8">
        <v>103.32453</v>
      </c>
      <c r="J16" s="3">
        <v>42115</v>
      </c>
      <c r="K16" t="s">
        <v>76</v>
      </c>
      <c r="S16">
        <v>13</v>
      </c>
      <c r="T16" s="5">
        <v>42124</v>
      </c>
      <c r="U16" t="s">
        <v>41</v>
      </c>
      <c r="V16" s="7">
        <v>49.435600000000001</v>
      </c>
      <c r="W16">
        <v>103.55553</v>
      </c>
      <c r="Z16" t="s">
        <v>21</v>
      </c>
      <c r="AA16" t="s">
        <v>14</v>
      </c>
      <c r="AB16" t="s">
        <v>76</v>
      </c>
    </row>
    <row r="17" spans="1:28" x14ac:dyDescent="0.25">
      <c r="A17" s="2">
        <v>14</v>
      </c>
      <c r="B17" s="2">
        <v>124</v>
      </c>
      <c r="C17" s="2" t="s">
        <v>14</v>
      </c>
      <c r="D17" s="2" t="s">
        <v>9</v>
      </c>
      <c r="E17" s="2">
        <v>49</v>
      </c>
      <c r="F17" s="2">
        <v>25</v>
      </c>
      <c r="G17" s="2">
        <v>419</v>
      </c>
      <c r="H17" s="2">
        <f>49+(Table1[[#This Row],[Column2]]/60)+Table1[[#This Row],[Column1]]/36000</f>
        <v>49.428305555555553</v>
      </c>
      <c r="I17" s="8">
        <v>103.34186</v>
      </c>
      <c r="J17" s="3">
        <v>42115</v>
      </c>
      <c r="K17" t="s">
        <v>76</v>
      </c>
      <c r="S17">
        <v>14</v>
      </c>
      <c r="T17" s="5">
        <v>42127</v>
      </c>
      <c r="U17" t="s">
        <v>42</v>
      </c>
      <c r="V17" s="6">
        <v>49.242829999999998</v>
      </c>
      <c r="W17">
        <v>103.38262</v>
      </c>
      <c r="AA17" t="s">
        <v>14</v>
      </c>
      <c r="AB17" t="s">
        <v>76</v>
      </c>
    </row>
    <row r="18" spans="1:28" x14ac:dyDescent="0.25">
      <c r="A18" s="2">
        <v>15</v>
      </c>
      <c r="B18" s="2">
        <v>131</v>
      </c>
      <c r="C18" s="2" t="s">
        <v>14</v>
      </c>
      <c r="D18" s="2"/>
      <c r="E18" s="2">
        <v>49</v>
      </c>
      <c r="F18" s="2">
        <v>26</v>
      </c>
      <c r="G18" s="2">
        <v>78</v>
      </c>
      <c r="H18" s="2">
        <f>49+(Table1[[#This Row],[Column2]]/60)+Table1[[#This Row],[Column1]]/36000</f>
        <v>49.435499999999998</v>
      </c>
      <c r="I18" s="8">
        <v>103.35396</v>
      </c>
      <c r="J18" s="3">
        <v>42115</v>
      </c>
      <c r="K18" t="s">
        <v>76</v>
      </c>
      <c r="S18">
        <v>15</v>
      </c>
      <c r="T18" s="5">
        <v>42131</v>
      </c>
      <c r="U18" t="s">
        <v>43</v>
      </c>
      <c r="V18" s="7"/>
      <c r="AA18" t="s">
        <v>14</v>
      </c>
      <c r="AB18" t="s">
        <v>76</v>
      </c>
    </row>
    <row r="19" spans="1:28" x14ac:dyDescent="0.25">
      <c r="A19" s="2">
        <v>16</v>
      </c>
      <c r="B19" s="2">
        <v>102</v>
      </c>
      <c r="C19" s="2" t="s">
        <v>14</v>
      </c>
      <c r="D19" s="2"/>
      <c r="E19" s="2">
        <v>49</v>
      </c>
      <c r="F19" s="2">
        <v>24</v>
      </c>
      <c r="G19" s="2">
        <v>178</v>
      </c>
      <c r="H19" s="2">
        <f>49+(Table1[[#This Row],[Column2]]/60)+Table1[[#This Row],[Column1]]/36000</f>
        <v>49.404944444444446</v>
      </c>
      <c r="I19" s="8">
        <v>103.38160000000001</v>
      </c>
      <c r="J19" s="3">
        <v>42115</v>
      </c>
      <c r="K19" t="s">
        <v>76</v>
      </c>
      <c r="S19">
        <v>16</v>
      </c>
      <c r="T19" s="5">
        <v>42132</v>
      </c>
      <c r="U19" t="s">
        <v>44</v>
      </c>
      <c r="V19" s="6">
        <v>49.270090000000003</v>
      </c>
      <c r="W19">
        <v>103.27269</v>
      </c>
      <c r="Z19" t="s">
        <v>21</v>
      </c>
      <c r="AA19" t="s">
        <v>14</v>
      </c>
      <c r="AB19" t="s">
        <v>76</v>
      </c>
    </row>
    <row r="20" spans="1:28" x14ac:dyDescent="0.25">
      <c r="A20" s="2">
        <v>17</v>
      </c>
      <c r="B20" s="2">
        <v>159</v>
      </c>
      <c r="C20" s="2" t="s">
        <v>14</v>
      </c>
      <c r="D20" s="2"/>
      <c r="E20" s="2">
        <v>49</v>
      </c>
      <c r="F20" s="2">
        <v>24</v>
      </c>
      <c r="G20" s="2">
        <v>104</v>
      </c>
      <c r="H20" s="2">
        <f>49+(Table1[[#This Row],[Column2]]/60)+Table1[[#This Row],[Column1]]/36000</f>
        <v>49.402888888888889</v>
      </c>
      <c r="I20" s="8">
        <v>103.38024</v>
      </c>
      <c r="J20" s="3">
        <v>42115</v>
      </c>
      <c r="K20" t="s">
        <v>76</v>
      </c>
      <c r="S20">
        <v>17</v>
      </c>
      <c r="T20" s="5">
        <v>42133</v>
      </c>
      <c r="U20" t="s">
        <v>45</v>
      </c>
      <c r="V20" s="7">
        <v>49.26567</v>
      </c>
      <c r="W20">
        <v>103.27417</v>
      </c>
      <c r="Z20" t="s">
        <v>46</v>
      </c>
      <c r="AA20" t="s">
        <v>14</v>
      </c>
      <c r="AB20" t="s">
        <v>76</v>
      </c>
    </row>
    <row r="21" spans="1:28" x14ac:dyDescent="0.25">
      <c r="A21" s="2">
        <v>18</v>
      </c>
      <c r="B21" s="2">
        <v>153</v>
      </c>
      <c r="C21" s="2" t="s">
        <v>14</v>
      </c>
      <c r="D21" s="2" t="s">
        <v>7</v>
      </c>
      <c r="E21" s="2">
        <v>49</v>
      </c>
      <c r="F21" s="2">
        <v>23</v>
      </c>
      <c r="G21" s="2">
        <v>317</v>
      </c>
      <c r="H21" s="2">
        <f>49+(Table1[[#This Row],[Column2]]/60)+Table1[[#This Row],[Column1]]/36000</f>
        <v>49.392138888888887</v>
      </c>
      <c r="I21" s="8">
        <v>103.37097</v>
      </c>
      <c r="J21" s="3">
        <v>42115</v>
      </c>
      <c r="K21" t="s">
        <v>76</v>
      </c>
      <c r="S21">
        <v>18</v>
      </c>
      <c r="T21" s="5">
        <v>42134</v>
      </c>
      <c r="U21" t="s">
        <v>47</v>
      </c>
      <c r="V21" s="6">
        <v>49.270020000000002</v>
      </c>
      <c r="W21">
        <v>103.27428</v>
      </c>
      <c r="Z21" t="s">
        <v>48</v>
      </c>
      <c r="AA21" t="s">
        <v>14</v>
      </c>
      <c r="AB21" t="s">
        <v>76</v>
      </c>
    </row>
    <row r="22" spans="1:28" x14ac:dyDescent="0.25">
      <c r="A22" s="2">
        <v>19</v>
      </c>
      <c r="B22" s="2">
        <v>204</v>
      </c>
      <c r="C22" s="2" t="s">
        <v>14</v>
      </c>
      <c r="D22" s="2" t="s">
        <v>8</v>
      </c>
      <c r="E22" s="2">
        <v>49</v>
      </c>
      <c r="F22" s="2">
        <v>23</v>
      </c>
      <c r="G22" s="2">
        <v>196</v>
      </c>
      <c r="H22" s="2">
        <f>49+(Table1[[#This Row],[Column2]]/60)+Table1[[#This Row],[Column1]]/36000</f>
        <v>49.388777777777776</v>
      </c>
      <c r="I22" s="8">
        <v>103.37429</v>
      </c>
      <c r="J22" s="3">
        <v>42115</v>
      </c>
      <c r="K22" t="s">
        <v>76</v>
      </c>
      <c r="S22">
        <v>19</v>
      </c>
      <c r="T22" t="s">
        <v>49</v>
      </c>
      <c r="U22" t="s">
        <v>50</v>
      </c>
      <c r="V22" s="7">
        <v>49.232140000000001</v>
      </c>
      <c r="W22">
        <v>103.38187000000001</v>
      </c>
      <c r="Z22" t="s">
        <v>51</v>
      </c>
      <c r="AA22" t="s">
        <v>13</v>
      </c>
      <c r="AB22" t="s">
        <v>76</v>
      </c>
    </row>
    <row r="23" spans="1:28" x14ac:dyDescent="0.25">
      <c r="A23" s="2">
        <v>20</v>
      </c>
      <c r="B23" s="2">
        <v>122</v>
      </c>
      <c r="C23" s="2" t="s">
        <v>13</v>
      </c>
      <c r="D23" s="2" t="s">
        <v>10</v>
      </c>
      <c r="E23" s="2">
        <v>49</v>
      </c>
      <c r="F23" s="2">
        <v>23</v>
      </c>
      <c r="G23" s="2">
        <v>153</v>
      </c>
      <c r="H23" s="2">
        <f>49+(Table1[[#This Row],[Column2]]/60)+Table1[[#This Row],[Column1]]/36000</f>
        <v>49.387583333333332</v>
      </c>
      <c r="I23" s="8">
        <v>103.38355</v>
      </c>
      <c r="J23" s="3">
        <v>42117</v>
      </c>
      <c r="K23" t="s">
        <v>76</v>
      </c>
      <c r="L23" t="s">
        <v>54</v>
      </c>
      <c r="M23">
        <v>425</v>
      </c>
      <c r="S23">
        <v>20</v>
      </c>
      <c r="T23" s="5">
        <v>42166</v>
      </c>
      <c r="V23">
        <v>49.681159999999998</v>
      </c>
      <c r="W23">
        <v>102.95242</v>
      </c>
      <c r="X23">
        <v>49.621090000000002</v>
      </c>
      <c r="Y23">
        <v>103.13527999999999</v>
      </c>
      <c r="AA23" t="s">
        <v>14</v>
      </c>
    </row>
    <row r="24" spans="1:28" x14ac:dyDescent="0.25">
      <c r="A24" s="2">
        <v>21</v>
      </c>
      <c r="B24" s="2">
        <v>118</v>
      </c>
      <c r="C24" s="2" t="s">
        <v>13</v>
      </c>
      <c r="D24" s="2" t="s">
        <v>9</v>
      </c>
      <c r="E24" s="2">
        <v>49</v>
      </c>
      <c r="F24" s="2">
        <v>23</v>
      </c>
      <c r="G24" s="2">
        <v>152</v>
      </c>
      <c r="H24" s="2">
        <f>49+(Table1[[#This Row],[Column2]]/60)+Table1[[#This Row],[Column1]]/36000</f>
        <v>49.387555555555558</v>
      </c>
      <c r="I24" s="8">
        <v>103.38355</v>
      </c>
      <c r="J24" s="3">
        <v>42117</v>
      </c>
      <c r="K24" t="s">
        <v>76</v>
      </c>
      <c r="L24" t="s">
        <v>54</v>
      </c>
      <c r="M24">
        <v>625</v>
      </c>
      <c r="S24">
        <v>21</v>
      </c>
      <c r="T24" s="5">
        <v>42167</v>
      </c>
      <c r="U24" t="s">
        <v>41</v>
      </c>
      <c r="V24">
        <v>49.433489999999999</v>
      </c>
      <c r="W24">
        <v>103.56227</v>
      </c>
      <c r="X24">
        <v>49.38937</v>
      </c>
      <c r="Y24">
        <v>103.63854000000001</v>
      </c>
      <c r="Z24" t="s">
        <v>21</v>
      </c>
      <c r="AA24" t="s">
        <v>66</v>
      </c>
    </row>
    <row r="25" spans="1:28" x14ac:dyDescent="0.25">
      <c r="A25" s="2">
        <v>22</v>
      </c>
      <c r="B25" s="2">
        <v>159</v>
      </c>
      <c r="C25" s="2" t="s">
        <v>14</v>
      </c>
      <c r="D25" s="2"/>
      <c r="E25" s="2">
        <v>49</v>
      </c>
      <c r="F25" s="2">
        <v>24</v>
      </c>
      <c r="G25" s="2">
        <v>148</v>
      </c>
      <c r="H25" s="2">
        <f>49+(Table1[[#This Row],[Column2]]/60)+Table1[[#This Row],[Column1]]/36000</f>
        <v>49.404111111111106</v>
      </c>
      <c r="I25" s="8">
        <v>103.38460000000001</v>
      </c>
      <c r="J25" s="3">
        <v>42119</v>
      </c>
      <c r="K25" t="s">
        <v>76</v>
      </c>
      <c r="S25">
        <v>22</v>
      </c>
      <c r="T25" s="5">
        <v>42168</v>
      </c>
      <c r="U25" t="s">
        <v>67</v>
      </c>
      <c r="V25">
        <v>49.358449999999998</v>
      </c>
      <c r="W25">
        <v>103.52479</v>
      </c>
      <c r="X25">
        <v>49.39423</v>
      </c>
      <c r="Y25">
        <v>103.66379999999999</v>
      </c>
      <c r="Z25" t="s">
        <v>68</v>
      </c>
      <c r="AA25" t="s">
        <v>13</v>
      </c>
    </row>
    <row r="26" spans="1:28" x14ac:dyDescent="0.25">
      <c r="A26" s="2">
        <v>23</v>
      </c>
      <c r="B26" s="2">
        <v>102</v>
      </c>
      <c r="C26" s="2" t="s">
        <v>14</v>
      </c>
      <c r="D26" s="2"/>
      <c r="E26" s="2">
        <v>49</v>
      </c>
      <c r="F26" s="2">
        <v>24</v>
      </c>
      <c r="G26" s="2">
        <v>108</v>
      </c>
      <c r="H26" s="2">
        <f>49+(Table1[[#This Row],[Column2]]/60)+Table1[[#This Row],[Column1]]/36000</f>
        <v>49.402999999999999</v>
      </c>
      <c r="I26" s="8">
        <v>103.38063</v>
      </c>
      <c r="J26" s="3">
        <v>42119</v>
      </c>
      <c r="K26" t="s">
        <v>76</v>
      </c>
      <c r="S26">
        <v>23</v>
      </c>
      <c r="T26" s="5">
        <v>42169</v>
      </c>
      <c r="U26" t="s">
        <v>71</v>
      </c>
      <c r="V26">
        <v>49.62135</v>
      </c>
      <c r="W26">
        <v>103.13464</v>
      </c>
      <c r="X26">
        <v>49.512680000000003</v>
      </c>
      <c r="Y26">
        <v>103.31129</v>
      </c>
      <c r="Z26" t="s">
        <v>72</v>
      </c>
      <c r="AA26" t="s">
        <v>14</v>
      </c>
    </row>
    <row r="27" spans="1:28" x14ac:dyDescent="0.25">
      <c r="A27" s="2">
        <v>24</v>
      </c>
      <c r="B27" s="2">
        <v>153</v>
      </c>
      <c r="C27" s="2" t="s">
        <v>14</v>
      </c>
      <c r="D27" s="2" t="s">
        <v>12</v>
      </c>
      <c r="E27" s="2">
        <v>49</v>
      </c>
      <c r="F27" s="2">
        <v>23</v>
      </c>
      <c r="G27" s="2">
        <v>264</v>
      </c>
      <c r="H27" s="2">
        <f>49+(Table1[[#This Row],[Column2]]/60)+Table1[[#This Row],[Column1]]/36000</f>
        <v>49.390666666666668</v>
      </c>
      <c r="I27" s="8">
        <v>103.37157000000001</v>
      </c>
      <c r="J27" s="3">
        <v>42119</v>
      </c>
      <c r="K27" t="s">
        <v>76</v>
      </c>
      <c r="S27">
        <v>24</v>
      </c>
      <c r="T27" s="5">
        <v>42170</v>
      </c>
      <c r="U27" t="s">
        <v>72</v>
      </c>
      <c r="V27">
        <v>49.509329999999999</v>
      </c>
      <c r="W27">
        <v>103.29501</v>
      </c>
      <c r="X27">
        <v>49.434660000000001</v>
      </c>
      <c r="Y27">
        <v>103.55761</v>
      </c>
      <c r="Z27" t="s">
        <v>74</v>
      </c>
      <c r="AA27" t="s">
        <v>14</v>
      </c>
    </row>
    <row r="28" spans="1:28" x14ac:dyDescent="0.25">
      <c r="A28" s="2">
        <v>25</v>
      </c>
      <c r="B28" s="2">
        <v>118</v>
      </c>
      <c r="C28" s="2" t="s">
        <v>13</v>
      </c>
      <c r="D28" s="2" t="s">
        <v>9</v>
      </c>
      <c r="E28" s="2">
        <v>49</v>
      </c>
      <c r="F28" s="2">
        <v>23</v>
      </c>
      <c r="G28" s="2">
        <v>189</v>
      </c>
      <c r="H28" s="2">
        <f>49+(Table1[[#This Row],[Column2]]/60)+Table1[[#This Row],[Column1]]/36000</f>
        <v>49.38858333333333</v>
      </c>
      <c r="I28" s="8">
        <v>103.38478000000001</v>
      </c>
      <c r="J28" s="3">
        <v>42119</v>
      </c>
      <c r="K28" t="s">
        <v>76</v>
      </c>
    </row>
    <row r="29" spans="1:28" x14ac:dyDescent="0.25">
      <c r="A29" s="2">
        <v>26</v>
      </c>
      <c r="B29" s="2">
        <v>122</v>
      </c>
      <c r="C29" s="2" t="s">
        <v>13</v>
      </c>
      <c r="D29" s="2" t="s">
        <v>10</v>
      </c>
      <c r="E29" s="2">
        <v>49</v>
      </c>
      <c r="F29" s="2">
        <v>23</v>
      </c>
      <c r="G29" s="2">
        <v>55</v>
      </c>
      <c r="H29" s="2">
        <f>49+(Table1[[#This Row],[Column2]]/60)+Table1[[#This Row],[Column1]]/36000</f>
        <v>49.384861111111114</v>
      </c>
      <c r="I29" s="8">
        <v>103.41252</v>
      </c>
      <c r="J29" s="3">
        <v>42119</v>
      </c>
      <c r="K29" t="s">
        <v>76</v>
      </c>
    </row>
    <row r="30" spans="1:28" x14ac:dyDescent="0.25">
      <c r="A30" s="2">
        <v>27</v>
      </c>
      <c r="B30" s="2">
        <v>122</v>
      </c>
      <c r="C30" s="2" t="s">
        <v>13</v>
      </c>
      <c r="D30" s="2" t="s">
        <v>10</v>
      </c>
      <c r="E30" s="2">
        <v>49</v>
      </c>
      <c r="F30" s="2">
        <v>25</v>
      </c>
      <c r="G30" s="2">
        <v>295</v>
      </c>
      <c r="H30" s="2">
        <f>49+(Table1[[#This Row],[Column2]]/60)+Table1[[#This Row],[Column1]]/36000</f>
        <v>49.424861111111106</v>
      </c>
      <c r="I30" s="8">
        <v>103.44114</v>
      </c>
      <c r="J30" s="3">
        <v>42120</v>
      </c>
      <c r="K30" t="s">
        <v>76</v>
      </c>
    </row>
    <row r="31" spans="1:28" x14ac:dyDescent="0.25">
      <c r="A31" s="2">
        <v>28</v>
      </c>
      <c r="B31" s="2">
        <v>118</v>
      </c>
      <c r="C31" s="2" t="s">
        <v>13</v>
      </c>
      <c r="D31" s="2" t="s">
        <v>9</v>
      </c>
      <c r="E31" s="2">
        <v>49</v>
      </c>
      <c r="F31" s="2">
        <v>25</v>
      </c>
      <c r="G31" s="2">
        <v>272</v>
      </c>
      <c r="H31" s="2">
        <f>49+(Table1[[#This Row],[Column2]]/60)+Table1[[#This Row],[Column1]]/36000</f>
        <v>49.42422222222222</v>
      </c>
      <c r="I31" s="8">
        <v>103.43559999999999</v>
      </c>
      <c r="J31" s="3">
        <v>42121</v>
      </c>
      <c r="K31" t="s">
        <v>76</v>
      </c>
    </row>
    <row r="32" spans="1:28" x14ac:dyDescent="0.25">
      <c r="A32" s="2">
        <v>29</v>
      </c>
      <c r="B32" s="2">
        <v>159</v>
      </c>
      <c r="C32" s="2" t="s">
        <v>14</v>
      </c>
      <c r="D32" s="2"/>
      <c r="E32" s="2">
        <v>49</v>
      </c>
      <c r="F32" s="2">
        <v>24</v>
      </c>
      <c r="G32" s="2">
        <v>136</v>
      </c>
      <c r="H32" s="2">
        <f>49+(Table1[[#This Row],[Column2]]/60)+Table1[[#This Row],[Column1]]/36000</f>
        <v>49.403777777777776</v>
      </c>
      <c r="I32" s="8">
        <v>103.38096</v>
      </c>
      <c r="J32" s="3">
        <v>42121</v>
      </c>
      <c r="K32" t="s">
        <v>76</v>
      </c>
    </row>
    <row r="33" spans="1:11" x14ac:dyDescent="0.25">
      <c r="A33" s="2">
        <v>30</v>
      </c>
      <c r="B33" s="2">
        <v>102</v>
      </c>
      <c r="C33" s="2" t="s">
        <v>14</v>
      </c>
      <c r="D33" s="2"/>
      <c r="E33" s="2">
        <v>49</v>
      </c>
      <c r="F33" s="2">
        <v>24</v>
      </c>
      <c r="G33" s="2">
        <v>151</v>
      </c>
      <c r="H33" s="2">
        <f>49+(Table1[[#This Row],[Column2]]/60)+Table1[[#This Row],[Column1]]/36000</f>
        <v>49.404194444444443</v>
      </c>
      <c r="I33" s="8">
        <v>103.38102000000001</v>
      </c>
      <c r="J33" s="3">
        <v>42121</v>
      </c>
      <c r="K33" t="s">
        <v>76</v>
      </c>
    </row>
    <row r="34" spans="1:11" x14ac:dyDescent="0.25">
      <c r="A34" s="2">
        <v>31</v>
      </c>
      <c r="B34" s="2">
        <v>204</v>
      </c>
      <c r="C34" s="2" t="s">
        <v>14</v>
      </c>
      <c r="D34" s="2" t="s">
        <v>8</v>
      </c>
      <c r="E34" s="2">
        <v>49</v>
      </c>
      <c r="F34" s="2">
        <v>23</v>
      </c>
      <c r="G34" s="2">
        <v>576</v>
      </c>
      <c r="H34" s="2">
        <f>49+(Table1[[#This Row],[Column2]]/60)+Table1[[#This Row],[Column1]]/36000</f>
        <v>49.399333333333331</v>
      </c>
      <c r="I34" s="8">
        <v>103.37391</v>
      </c>
      <c r="J34" s="3">
        <v>42121</v>
      </c>
      <c r="K34" t="s">
        <v>76</v>
      </c>
    </row>
    <row r="35" spans="1:11" x14ac:dyDescent="0.25">
      <c r="A35" s="2">
        <v>32</v>
      </c>
      <c r="B35" s="2">
        <v>153</v>
      </c>
      <c r="C35" s="2" t="s">
        <v>14</v>
      </c>
      <c r="D35" s="2" t="s">
        <v>7</v>
      </c>
      <c r="E35" s="2">
        <v>49</v>
      </c>
      <c r="F35" s="2">
        <v>23</v>
      </c>
      <c r="G35" s="2">
        <v>309</v>
      </c>
      <c r="H35" s="2">
        <f>49+(Table1[[#This Row],[Column2]]/60)+Table1[[#This Row],[Column1]]/36000</f>
        <v>49.391916666666667</v>
      </c>
      <c r="I35" s="8">
        <v>103.37112999999999</v>
      </c>
      <c r="J35" s="3">
        <v>42121</v>
      </c>
      <c r="K35" t="s">
        <v>76</v>
      </c>
    </row>
    <row r="36" spans="1:11" x14ac:dyDescent="0.25">
      <c r="A36" s="2">
        <v>33</v>
      </c>
      <c r="B36" s="2">
        <v>118</v>
      </c>
      <c r="C36" s="2" t="s">
        <v>13</v>
      </c>
      <c r="D36" s="2" t="s">
        <v>9</v>
      </c>
      <c r="E36" s="2">
        <v>49</v>
      </c>
      <c r="F36" s="2">
        <v>25</v>
      </c>
      <c r="G36" s="2">
        <v>228</v>
      </c>
      <c r="H36" s="2">
        <f>49+(Table1[[#This Row],[Column2]]/60)+Table1[[#This Row],[Column1]]/36000</f>
        <v>49.422999999999995</v>
      </c>
      <c r="I36" s="8">
        <v>103.43544</v>
      </c>
      <c r="J36" s="3">
        <v>42122</v>
      </c>
      <c r="K36" t="s">
        <v>76</v>
      </c>
    </row>
    <row r="37" spans="1:11" x14ac:dyDescent="0.25">
      <c r="A37" s="10">
        <v>34</v>
      </c>
      <c r="B37" s="10">
        <v>130</v>
      </c>
      <c r="C37" s="10" t="s">
        <v>14</v>
      </c>
      <c r="D37" s="10"/>
      <c r="E37" s="10">
        <v>49</v>
      </c>
      <c r="F37" s="10">
        <v>35</v>
      </c>
      <c r="G37" s="10">
        <v>505</v>
      </c>
      <c r="H37" s="10">
        <f>49+(Table1[[#This Row],[Column2]]/60)+Table1[[#This Row],[Column1]]/36000</f>
        <v>49.597361111111113</v>
      </c>
      <c r="I37" s="14">
        <v>103.11273</v>
      </c>
      <c r="J37" s="15">
        <v>42123</v>
      </c>
      <c r="K37" s="11" t="s">
        <v>76</v>
      </c>
    </row>
    <row r="38" spans="1:11" x14ac:dyDescent="0.25">
      <c r="A38" s="2"/>
      <c r="B38" s="2"/>
      <c r="C38" s="2"/>
      <c r="D38" s="2"/>
      <c r="E38" s="2"/>
      <c r="F38" s="2"/>
      <c r="G38" s="2"/>
      <c r="H38" s="2">
        <f>49+(Table1[[#This Row],[Column2]]/60)+Table1[[#This Row],[Column1]]/36000</f>
        <v>49</v>
      </c>
      <c r="I38" s="8"/>
      <c r="J38" s="3"/>
      <c r="K38" t="s">
        <v>76</v>
      </c>
    </row>
    <row r="39" spans="1:11" x14ac:dyDescent="0.25">
      <c r="A39" s="2">
        <v>35</v>
      </c>
      <c r="B39" s="2">
        <v>158</v>
      </c>
      <c r="C39" s="2" t="s">
        <v>14</v>
      </c>
      <c r="D39" s="2"/>
      <c r="E39" s="2">
        <v>49</v>
      </c>
      <c r="F39" s="2">
        <v>35</v>
      </c>
      <c r="G39" s="2">
        <v>449</v>
      </c>
      <c r="H39" s="2">
        <f>49+(Table1[[#This Row],[Column2]]/60)+Table1[[#This Row],[Column1]]/36000</f>
        <v>49.595805555555557</v>
      </c>
      <c r="I39" s="8">
        <v>103.13</v>
      </c>
      <c r="J39" s="3">
        <v>42123</v>
      </c>
      <c r="K39" t="s">
        <v>76</v>
      </c>
    </row>
    <row r="40" spans="1:11" x14ac:dyDescent="0.25">
      <c r="A40" s="2"/>
      <c r="B40" s="2"/>
      <c r="C40" s="2"/>
      <c r="D40" s="2"/>
      <c r="E40" s="2"/>
      <c r="F40" s="2"/>
      <c r="G40" s="2"/>
      <c r="H40" s="2">
        <f>49+(Table1[[#This Row],[Column2]]/60)+Table1[[#This Row],[Column1]]/36000</f>
        <v>49</v>
      </c>
      <c r="I40" s="8"/>
      <c r="J40" s="3"/>
      <c r="K40" t="s">
        <v>76</v>
      </c>
    </row>
    <row r="41" spans="1:11" x14ac:dyDescent="0.25">
      <c r="A41" s="2">
        <v>38</v>
      </c>
      <c r="B41" s="2">
        <v>104</v>
      </c>
      <c r="C41" s="2" t="s">
        <v>14</v>
      </c>
      <c r="D41" s="2"/>
      <c r="E41" s="2">
        <v>49.505139999999997</v>
      </c>
      <c r="F41" s="2">
        <v>30</v>
      </c>
      <c r="G41" s="2">
        <v>185</v>
      </c>
      <c r="H41" s="2">
        <f>49+(Table1[[#This Row],[Column2]]/60)+Table1[[#This Row],[Column1]]/36000</f>
        <v>49.505138888888887</v>
      </c>
      <c r="I41" s="8">
        <v>103.34123</v>
      </c>
      <c r="J41" s="3">
        <v>42123</v>
      </c>
      <c r="K41" t="s">
        <v>76</v>
      </c>
    </row>
    <row r="42" spans="1:11" x14ac:dyDescent="0.25">
      <c r="A42" s="2">
        <v>39</v>
      </c>
      <c r="B42" s="2">
        <v>154</v>
      </c>
      <c r="C42" s="2" t="s">
        <v>14</v>
      </c>
      <c r="D42" s="2"/>
      <c r="E42" s="2">
        <v>49.448239999999998</v>
      </c>
      <c r="F42" s="2">
        <v>26</v>
      </c>
      <c r="G42" s="2">
        <v>537</v>
      </c>
      <c r="H42" s="2">
        <f>49+(Table1[[#This Row],[Column2]]/60)+Table1[[#This Row],[Column1]]/36000</f>
        <v>49.448249999999994</v>
      </c>
      <c r="I42" s="8">
        <v>103.46535</v>
      </c>
      <c r="J42" s="3">
        <v>42123</v>
      </c>
      <c r="K42" t="s">
        <v>76</v>
      </c>
    </row>
    <row r="43" spans="1:11" x14ac:dyDescent="0.25">
      <c r="A43" s="2">
        <v>40</v>
      </c>
      <c r="B43" s="2">
        <v>157</v>
      </c>
      <c r="C43" s="2" t="s">
        <v>14</v>
      </c>
      <c r="D43" s="2"/>
      <c r="E43" s="2">
        <v>49.444299999999998</v>
      </c>
      <c r="F43" s="2">
        <v>26</v>
      </c>
      <c r="G43" s="2">
        <v>395</v>
      </c>
      <c r="H43" s="2">
        <f>49+(Table1[[#This Row],[Column2]]/60)+Table1[[#This Row],[Column1]]/36000</f>
        <v>49.444305555555552</v>
      </c>
      <c r="I43" s="8">
        <v>103.4853</v>
      </c>
      <c r="J43" s="3">
        <v>42123</v>
      </c>
      <c r="K43" t="s">
        <v>76</v>
      </c>
    </row>
    <row r="44" spans="1:11" x14ac:dyDescent="0.25">
      <c r="A44" s="2">
        <v>41</v>
      </c>
      <c r="B44" s="2">
        <v>151</v>
      </c>
      <c r="C44" s="2" t="s">
        <v>14</v>
      </c>
      <c r="D44" s="2"/>
      <c r="E44" s="2">
        <v>49.431150000000002</v>
      </c>
      <c r="F44" s="2">
        <v>25</v>
      </c>
      <c r="G44" s="2">
        <v>521</v>
      </c>
      <c r="H44" s="2">
        <f>49+(Table1[[#This Row],[Column2]]/60)+Table1[[#This Row],[Column1]]/36000</f>
        <v>49.431138888888889</v>
      </c>
      <c r="I44" s="8">
        <v>103.50506</v>
      </c>
      <c r="J44" s="3">
        <v>42123</v>
      </c>
      <c r="K44" t="s">
        <v>76</v>
      </c>
    </row>
    <row r="45" spans="1:11" x14ac:dyDescent="0.25">
      <c r="A45" s="2">
        <v>42</v>
      </c>
      <c r="B45" s="2">
        <v>155</v>
      </c>
      <c r="C45" s="2" t="s">
        <v>14</v>
      </c>
      <c r="D45" s="2"/>
      <c r="E45" s="2">
        <v>49.42709</v>
      </c>
      <c r="F45" s="2">
        <v>25</v>
      </c>
      <c r="G45" s="2">
        <v>375</v>
      </c>
      <c r="H45" s="2">
        <f>49+(Table1[[#This Row],[Column2]]/60)+Table1[[#This Row],[Column1]]/36000</f>
        <v>49.427083333333329</v>
      </c>
      <c r="I45" s="8">
        <v>103.51047</v>
      </c>
      <c r="J45" s="3">
        <v>42123</v>
      </c>
      <c r="K45" t="s">
        <v>76</v>
      </c>
    </row>
    <row r="46" spans="1:11" x14ac:dyDescent="0.25">
      <c r="A46" s="2">
        <v>43</v>
      </c>
      <c r="B46" s="2">
        <v>156</v>
      </c>
      <c r="C46" s="2" t="s">
        <v>14</v>
      </c>
      <c r="D46" s="2"/>
      <c r="E46" s="2">
        <v>49.434420000000003</v>
      </c>
      <c r="F46" s="2">
        <v>26</v>
      </c>
      <c r="G46" s="2">
        <v>39</v>
      </c>
      <c r="H46" s="2">
        <f>49+(Table1[[#This Row],[Column2]]/60)+Table1[[#This Row],[Column1]]/36000</f>
        <v>49.434416666666664</v>
      </c>
      <c r="I46" s="8">
        <v>103.54703000000001</v>
      </c>
      <c r="J46" s="3">
        <v>42123</v>
      </c>
      <c r="K46" t="s">
        <v>76</v>
      </c>
    </row>
    <row r="47" spans="1:11" x14ac:dyDescent="0.25">
      <c r="A47" s="2">
        <v>44</v>
      </c>
      <c r="B47" s="2">
        <v>153</v>
      </c>
      <c r="C47" s="2" t="s">
        <v>14</v>
      </c>
      <c r="D47" s="2" t="s">
        <v>7</v>
      </c>
      <c r="E47" s="2">
        <v>49</v>
      </c>
      <c r="F47" s="2">
        <v>24</v>
      </c>
      <c r="G47" s="2">
        <v>21</v>
      </c>
      <c r="H47" s="2">
        <f>49+(Table1[[#This Row],[Column2]]/60)+Table1[[#This Row],[Column1]]/36000</f>
        <v>49.40058333333333</v>
      </c>
      <c r="I47" s="8">
        <v>103.38193</v>
      </c>
      <c r="J47" s="3">
        <v>42124</v>
      </c>
      <c r="K47" t="s">
        <v>76</v>
      </c>
    </row>
    <row r="48" spans="1:11" x14ac:dyDescent="0.25">
      <c r="A48" s="2">
        <v>45</v>
      </c>
      <c r="B48" s="2">
        <v>159</v>
      </c>
      <c r="C48" s="2" t="s">
        <v>14</v>
      </c>
      <c r="D48" s="2"/>
      <c r="E48" s="2">
        <v>49</v>
      </c>
      <c r="F48" s="2">
        <v>24</v>
      </c>
      <c r="G48" s="2">
        <v>109</v>
      </c>
      <c r="H48" s="2">
        <f>49+(Table1[[#This Row],[Column2]]/60)+Table1[[#This Row],[Column1]]/36000</f>
        <v>49.40302777777778</v>
      </c>
      <c r="I48" s="8">
        <v>103.38024</v>
      </c>
      <c r="J48" s="3">
        <v>42124</v>
      </c>
      <c r="K48" t="s">
        <v>76</v>
      </c>
    </row>
    <row r="49" spans="1:11" x14ac:dyDescent="0.25">
      <c r="A49" s="2">
        <v>46</v>
      </c>
      <c r="B49" s="2">
        <v>102</v>
      </c>
      <c r="C49" s="2" t="s">
        <v>14</v>
      </c>
      <c r="D49" s="2" t="s">
        <v>11</v>
      </c>
      <c r="E49" s="2">
        <v>49</v>
      </c>
      <c r="F49" s="2">
        <v>24</v>
      </c>
      <c r="G49" s="2">
        <v>95</v>
      </c>
      <c r="H49" s="2">
        <f>49+(Table1[[#This Row],[Column2]]/60)+Table1[[#This Row],[Column1]]/36000</f>
        <v>49.402638888888887</v>
      </c>
      <c r="I49" s="8">
        <v>103.38012999999999</v>
      </c>
      <c r="J49" s="3">
        <v>42124</v>
      </c>
      <c r="K49" t="s">
        <v>76</v>
      </c>
    </row>
    <row r="50" spans="1:11" x14ac:dyDescent="0.25">
      <c r="A50" s="2">
        <v>47</v>
      </c>
      <c r="B50" s="2">
        <v>102</v>
      </c>
      <c r="C50" s="2" t="s">
        <v>14</v>
      </c>
      <c r="D50" s="2" t="s">
        <v>11</v>
      </c>
      <c r="E50" s="2">
        <v>49</v>
      </c>
      <c r="F50" s="2">
        <v>24</v>
      </c>
      <c r="G50" s="2">
        <v>166</v>
      </c>
      <c r="H50" s="2">
        <f>49+(Table1[[#This Row],[Column2]]/60)+Table1[[#This Row],[Column1]]/36000</f>
        <v>49.404611111111109</v>
      </c>
      <c r="I50" s="8">
        <v>103.38124000000001</v>
      </c>
      <c r="J50" s="3">
        <v>42127</v>
      </c>
      <c r="K50" t="s">
        <v>76</v>
      </c>
    </row>
    <row r="51" spans="1:11" x14ac:dyDescent="0.25">
      <c r="A51" s="2">
        <v>48</v>
      </c>
      <c r="B51" s="2">
        <v>159</v>
      </c>
      <c r="C51" s="2" t="s">
        <v>14</v>
      </c>
      <c r="D51" s="2" t="s">
        <v>11</v>
      </c>
      <c r="E51" s="2">
        <v>49</v>
      </c>
      <c r="F51" s="2">
        <v>24</v>
      </c>
      <c r="G51" s="2">
        <v>134</v>
      </c>
      <c r="H51" s="2">
        <f>49+(Table1[[#This Row],[Column2]]/60)+Table1[[#This Row],[Column1]]/36000</f>
        <v>49.403722222222221</v>
      </c>
      <c r="I51" s="8">
        <v>103.38065</v>
      </c>
      <c r="J51" s="3">
        <v>42127</v>
      </c>
      <c r="K51" t="s">
        <v>76</v>
      </c>
    </row>
    <row r="52" spans="1:11" x14ac:dyDescent="0.25">
      <c r="A52" s="2">
        <v>49</v>
      </c>
      <c r="B52" s="2">
        <v>157</v>
      </c>
      <c r="C52" s="2" t="s">
        <v>14</v>
      </c>
      <c r="D52" s="2" t="s">
        <v>11</v>
      </c>
      <c r="E52" s="2">
        <v>49</v>
      </c>
      <c r="F52" s="2">
        <v>26</v>
      </c>
      <c r="G52" s="2">
        <v>55</v>
      </c>
      <c r="H52" s="2">
        <f>49+(Table1[[#This Row],[Column2]]/60)+Table1[[#This Row],[Column1]]/36000</f>
        <v>49.434861111111111</v>
      </c>
      <c r="I52" s="8">
        <v>103.27432</v>
      </c>
      <c r="J52" s="3">
        <v>42131</v>
      </c>
      <c r="K52" t="s">
        <v>76</v>
      </c>
    </row>
    <row r="53" spans="1:11" x14ac:dyDescent="0.25">
      <c r="A53" s="2">
        <v>50</v>
      </c>
      <c r="B53" s="2">
        <v>154</v>
      </c>
      <c r="C53" s="2" t="s">
        <v>14</v>
      </c>
      <c r="D53" s="2" t="s">
        <v>11</v>
      </c>
      <c r="E53" s="2">
        <v>49</v>
      </c>
      <c r="F53" s="2">
        <v>26</v>
      </c>
      <c r="G53" s="2">
        <v>454</v>
      </c>
      <c r="H53" s="2">
        <f>49+(Table1[[#This Row],[Column2]]/60)+Table1[[#This Row],[Column1]]/36000</f>
        <v>49.445944444444443</v>
      </c>
      <c r="I53" s="8">
        <v>103.28067</v>
      </c>
      <c r="J53" s="3">
        <v>42131</v>
      </c>
      <c r="K53" t="s">
        <v>76</v>
      </c>
    </row>
    <row r="54" spans="1:11" x14ac:dyDescent="0.25">
      <c r="A54" s="2">
        <v>51</v>
      </c>
      <c r="B54" s="2">
        <v>157</v>
      </c>
      <c r="C54" s="2" t="s">
        <v>14</v>
      </c>
      <c r="D54" s="2" t="s">
        <v>11</v>
      </c>
      <c r="E54" s="2">
        <v>49</v>
      </c>
      <c r="F54" s="2">
        <v>56</v>
      </c>
      <c r="G54" s="2">
        <v>555</v>
      </c>
      <c r="H54" s="2">
        <f>49+(Table1[[#This Row],[Column2]]/60)+Table1[[#This Row],[Column1]]/36000</f>
        <v>49.948749999999997</v>
      </c>
      <c r="I54" s="8">
        <v>103.27418</v>
      </c>
      <c r="J54" s="3">
        <v>42131</v>
      </c>
      <c r="K54" t="s">
        <v>76</v>
      </c>
    </row>
    <row r="55" spans="1:11" x14ac:dyDescent="0.25">
      <c r="A55" s="2">
        <v>52</v>
      </c>
      <c r="B55" s="2">
        <v>154</v>
      </c>
      <c r="C55" s="2" t="s">
        <v>14</v>
      </c>
      <c r="D55" s="2" t="s">
        <v>11</v>
      </c>
      <c r="E55" s="2">
        <v>49</v>
      </c>
      <c r="F55" s="2">
        <v>26</v>
      </c>
      <c r="G55" s="2">
        <v>452</v>
      </c>
      <c r="H55" s="2">
        <f>49+(Table1[[#This Row],[Column2]]/60)+Table1[[#This Row],[Column1]]/36000</f>
        <v>49.445888888888888</v>
      </c>
      <c r="I55" s="8">
        <v>103.28073000000001</v>
      </c>
      <c r="J55" s="3">
        <v>42131</v>
      </c>
      <c r="K55" t="s">
        <v>76</v>
      </c>
    </row>
    <row r="56" spans="1:11" x14ac:dyDescent="0.25">
      <c r="A56" s="2">
        <v>53</v>
      </c>
      <c r="B56" s="2">
        <v>157</v>
      </c>
      <c r="C56" s="2" t="s">
        <v>14</v>
      </c>
      <c r="D56" s="2" t="s">
        <v>11</v>
      </c>
      <c r="E56" s="2">
        <v>49</v>
      </c>
      <c r="F56" s="2">
        <v>26</v>
      </c>
      <c r="G56" s="2">
        <v>551</v>
      </c>
      <c r="H56" s="2">
        <f>49+(Table1[[#This Row],[Column2]]/60)+Table1[[#This Row],[Column1]]/36000</f>
        <v>49.448638888888887</v>
      </c>
      <c r="I56" s="8">
        <v>103.27428999999999</v>
      </c>
      <c r="J56" s="3">
        <v>42131</v>
      </c>
      <c r="K56" t="s">
        <v>76</v>
      </c>
    </row>
    <row r="57" spans="1:11" x14ac:dyDescent="0.25">
      <c r="A57" s="2">
        <v>54</v>
      </c>
      <c r="B57" s="2">
        <v>154</v>
      </c>
      <c r="C57" s="2" t="s">
        <v>14</v>
      </c>
      <c r="D57" s="2" t="s">
        <v>11</v>
      </c>
      <c r="E57" s="2">
        <v>49</v>
      </c>
      <c r="F57" s="2">
        <v>26</v>
      </c>
      <c r="G57" s="2">
        <v>454</v>
      </c>
      <c r="H57" s="2">
        <f>49+(Table1[[#This Row],[Column2]]/60)+Table1[[#This Row],[Column1]]/36000</f>
        <v>49.445944444444443</v>
      </c>
      <c r="I57" s="8">
        <v>103.27065</v>
      </c>
      <c r="J57" s="3">
        <v>42131</v>
      </c>
      <c r="K57" t="s">
        <v>76</v>
      </c>
    </row>
    <row r="58" spans="1:11" x14ac:dyDescent="0.25">
      <c r="A58" s="2">
        <v>55</v>
      </c>
      <c r="B58" s="2">
        <v>157</v>
      </c>
      <c r="C58" s="2" t="s">
        <v>14</v>
      </c>
      <c r="D58" s="2" t="s">
        <v>11</v>
      </c>
      <c r="E58" s="2">
        <v>49</v>
      </c>
      <c r="F58" s="2">
        <v>26</v>
      </c>
      <c r="G58" s="2">
        <v>553</v>
      </c>
      <c r="H58" s="2">
        <f>49+(Table1[[#This Row],[Column2]]/60)+Table1[[#This Row],[Column1]]/36000</f>
        <v>49.448694444444442</v>
      </c>
      <c r="I58" s="8">
        <v>103.27428</v>
      </c>
      <c r="J58" s="3">
        <v>42131</v>
      </c>
      <c r="K58" t="s">
        <v>76</v>
      </c>
    </row>
    <row r="59" spans="1:11" x14ac:dyDescent="0.25">
      <c r="A59" s="2">
        <v>56</v>
      </c>
      <c r="B59" s="2">
        <v>154</v>
      </c>
      <c r="C59" s="2" t="s">
        <v>14</v>
      </c>
      <c r="D59" s="2" t="s">
        <v>11</v>
      </c>
      <c r="E59" s="2">
        <v>49</v>
      </c>
      <c r="F59" s="2">
        <v>26</v>
      </c>
      <c r="G59" s="2">
        <v>455</v>
      </c>
      <c r="H59" s="2">
        <f>49+(Table1[[#This Row],[Column2]]/60)+Table1[[#This Row],[Column1]]/36000</f>
        <v>49.445972222222217</v>
      </c>
      <c r="I59" s="8">
        <v>103.27065</v>
      </c>
      <c r="J59" s="3">
        <v>115179</v>
      </c>
      <c r="K59" t="s">
        <v>76</v>
      </c>
    </row>
    <row r="60" spans="1:11" x14ac:dyDescent="0.25">
      <c r="A60" s="2">
        <v>57</v>
      </c>
      <c r="B60" s="2">
        <v>157</v>
      </c>
      <c r="C60" s="2" t="s">
        <v>14</v>
      </c>
      <c r="D60" s="2" t="s">
        <v>11</v>
      </c>
      <c r="E60" s="2">
        <v>49</v>
      </c>
      <c r="F60" s="2">
        <v>26</v>
      </c>
      <c r="G60" s="2">
        <v>559</v>
      </c>
      <c r="H60" s="2">
        <f>49+(Table1[[#This Row],[Column2]]/60)+Table1[[#This Row],[Column1]]/36000</f>
        <v>49.448861111111107</v>
      </c>
      <c r="I60" s="8">
        <v>103.27410999999999</v>
      </c>
      <c r="J60" s="3">
        <v>42131</v>
      </c>
      <c r="K60" t="s">
        <v>76</v>
      </c>
    </row>
    <row r="61" spans="1:11" x14ac:dyDescent="0.25">
      <c r="A61" s="2">
        <v>58</v>
      </c>
      <c r="B61" s="2">
        <v>154</v>
      </c>
      <c r="C61" s="2" t="s">
        <v>14</v>
      </c>
      <c r="D61" s="2" t="s">
        <v>11</v>
      </c>
      <c r="E61" s="2">
        <v>49</v>
      </c>
      <c r="F61" s="2">
        <v>26</v>
      </c>
      <c r="G61" s="2">
        <v>455</v>
      </c>
      <c r="H61" s="2">
        <f>49+(Table1[[#This Row],[Column2]]/60)+Table1[[#This Row],[Column1]]/36000</f>
        <v>49.445972222222217</v>
      </c>
      <c r="I61" s="8">
        <v>103.28064999999999</v>
      </c>
      <c r="J61" s="3">
        <v>42131</v>
      </c>
      <c r="K61" t="s">
        <v>76</v>
      </c>
    </row>
    <row r="62" spans="1:11" x14ac:dyDescent="0.25">
      <c r="A62" s="2">
        <v>59</v>
      </c>
      <c r="B62" s="2">
        <v>157</v>
      </c>
      <c r="C62" s="2" t="s">
        <v>14</v>
      </c>
      <c r="D62" s="2" t="s">
        <v>11</v>
      </c>
      <c r="E62" s="2">
        <v>49</v>
      </c>
      <c r="F62" s="2">
        <v>26</v>
      </c>
      <c r="G62" s="2">
        <v>554</v>
      </c>
      <c r="H62" s="2">
        <f>49+(Table1[[#This Row],[Column2]]/60)+Table1[[#This Row],[Column1]]/36000</f>
        <v>49.448722222222216</v>
      </c>
      <c r="I62" s="8">
        <v>103.27421</v>
      </c>
      <c r="J62" s="3">
        <v>42131</v>
      </c>
      <c r="K62" t="s">
        <v>76</v>
      </c>
    </row>
    <row r="63" spans="1:11" x14ac:dyDescent="0.25">
      <c r="A63" s="2">
        <v>60</v>
      </c>
      <c r="B63" s="2">
        <v>154</v>
      </c>
      <c r="C63" s="2" t="s">
        <v>14</v>
      </c>
      <c r="D63" s="2" t="s">
        <v>11</v>
      </c>
      <c r="E63" s="2">
        <v>49</v>
      </c>
      <c r="F63" s="2">
        <v>26</v>
      </c>
      <c r="G63" s="2">
        <v>454</v>
      </c>
      <c r="H63" s="2">
        <f>49+(Table1[[#This Row],[Column2]]/60)+Table1[[#This Row],[Column1]]/36000</f>
        <v>49.445944444444443</v>
      </c>
      <c r="I63" s="8">
        <v>103.28067</v>
      </c>
      <c r="J63" s="3">
        <v>42131</v>
      </c>
      <c r="K63" t="s">
        <v>76</v>
      </c>
    </row>
    <row r="64" spans="1:11" x14ac:dyDescent="0.25">
      <c r="A64" s="2">
        <v>61</v>
      </c>
      <c r="B64" s="2">
        <v>157</v>
      </c>
      <c r="C64" s="2" t="s">
        <v>14</v>
      </c>
      <c r="D64" s="2" t="s">
        <v>11</v>
      </c>
      <c r="E64" s="2">
        <v>49</v>
      </c>
      <c r="F64" s="2">
        <v>26</v>
      </c>
      <c r="G64" s="2">
        <v>553</v>
      </c>
      <c r="H64" s="2">
        <f>49+(Table1[[#This Row],[Column2]]/60)+Table1[[#This Row],[Column1]]/36000</f>
        <v>49.448694444444442</v>
      </c>
      <c r="I64" s="8">
        <v>103.27421</v>
      </c>
      <c r="J64" s="3">
        <v>42131</v>
      </c>
      <c r="K64" t="s">
        <v>76</v>
      </c>
    </row>
    <row r="65" spans="1:11" x14ac:dyDescent="0.25">
      <c r="A65" s="2">
        <v>62</v>
      </c>
      <c r="B65" s="2">
        <v>154</v>
      </c>
      <c r="C65" s="2" t="s">
        <v>14</v>
      </c>
      <c r="D65" s="2" t="s">
        <v>11</v>
      </c>
      <c r="E65" s="2">
        <v>49</v>
      </c>
      <c r="F65" s="2">
        <v>26</v>
      </c>
      <c r="G65" s="2">
        <v>452</v>
      </c>
      <c r="H65" s="2">
        <f>49+(Table1[[#This Row],[Column2]]/60)+Table1[[#This Row],[Column1]]/36000</f>
        <v>49.445888888888888</v>
      </c>
      <c r="I65" s="8">
        <v>103.28076</v>
      </c>
      <c r="J65" s="3">
        <v>42131</v>
      </c>
      <c r="K65" t="s">
        <v>76</v>
      </c>
    </row>
    <row r="66" spans="1:11" x14ac:dyDescent="0.25">
      <c r="A66" s="2">
        <v>63</v>
      </c>
      <c r="B66" s="2">
        <v>157</v>
      </c>
      <c r="C66" s="2" t="s">
        <v>14</v>
      </c>
      <c r="D66" s="2" t="s">
        <v>11</v>
      </c>
      <c r="E66" s="2">
        <v>49</v>
      </c>
      <c r="F66" s="2">
        <v>26</v>
      </c>
      <c r="G66" s="2">
        <v>556</v>
      </c>
      <c r="H66" s="2">
        <f>49+(Table1[[#This Row],[Column2]]/60)+Table1[[#This Row],[Column1]]/36000</f>
        <v>49.448777777777778</v>
      </c>
      <c r="I66" s="8">
        <v>103.27418</v>
      </c>
      <c r="J66" s="3">
        <v>42131</v>
      </c>
      <c r="K66" t="s">
        <v>76</v>
      </c>
    </row>
    <row r="67" spans="1:11" x14ac:dyDescent="0.25">
      <c r="A67" s="2">
        <v>64</v>
      </c>
      <c r="B67" s="2">
        <v>154</v>
      </c>
      <c r="C67" s="2" t="s">
        <v>14</v>
      </c>
      <c r="D67" s="2" t="s">
        <v>11</v>
      </c>
      <c r="E67" s="2">
        <v>49</v>
      </c>
      <c r="F67" s="2">
        <v>26</v>
      </c>
      <c r="G67" s="2">
        <v>455</v>
      </c>
      <c r="H67" s="2">
        <f>49+(Table1[[#This Row],[Column2]]/60)+Table1[[#This Row],[Column1]]/36000</f>
        <v>49.445972222222217</v>
      </c>
      <c r="I67" s="8">
        <v>103.28064999999999</v>
      </c>
      <c r="J67" s="3">
        <v>42131</v>
      </c>
      <c r="K67" t="s">
        <v>76</v>
      </c>
    </row>
    <row r="68" spans="1:11" x14ac:dyDescent="0.25">
      <c r="A68" s="2">
        <v>65</v>
      </c>
      <c r="B68" s="2">
        <v>157</v>
      </c>
      <c r="C68" s="2" t="s">
        <v>14</v>
      </c>
      <c r="D68" s="2" t="s">
        <v>11</v>
      </c>
      <c r="E68" s="2">
        <v>49</v>
      </c>
      <c r="F68" s="2">
        <v>26</v>
      </c>
      <c r="G68" s="2">
        <v>555</v>
      </c>
      <c r="H68" s="2">
        <f>49+(Table1[[#This Row],[Column2]]/60)+Table1[[#This Row],[Column1]]/36000</f>
        <v>49.448749999999997</v>
      </c>
      <c r="I68" s="8">
        <v>103.27418</v>
      </c>
      <c r="J68" s="3">
        <v>42131</v>
      </c>
      <c r="K68" t="s">
        <v>76</v>
      </c>
    </row>
    <row r="69" spans="1:11" x14ac:dyDescent="0.25">
      <c r="A69" s="2">
        <v>66</v>
      </c>
      <c r="B69" s="2">
        <v>154</v>
      </c>
      <c r="C69" s="2" t="s">
        <v>14</v>
      </c>
      <c r="D69" s="2" t="s">
        <v>11</v>
      </c>
      <c r="E69" s="2">
        <v>49</v>
      </c>
      <c r="F69" s="2">
        <v>26</v>
      </c>
      <c r="G69" s="2">
        <v>455</v>
      </c>
      <c r="H69" s="2">
        <f>49+(Table1[[#This Row],[Column2]]/60)+Table1[[#This Row],[Column1]]/36000</f>
        <v>49.445972222222217</v>
      </c>
      <c r="I69" s="8">
        <v>103.28064999999999</v>
      </c>
      <c r="J69" s="3">
        <v>42131</v>
      </c>
      <c r="K69" t="s">
        <v>76</v>
      </c>
    </row>
    <row r="70" spans="1:11" x14ac:dyDescent="0.25">
      <c r="A70" s="2">
        <v>67</v>
      </c>
      <c r="B70" s="2">
        <v>157</v>
      </c>
      <c r="C70" s="2" t="s">
        <v>14</v>
      </c>
      <c r="D70" s="2" t="s">
        <v>11</v>
      </c>
      <c r="E70" s="2">
        <v>49</v>
      </c>
      <c r="F70" s="2">
        <v>26</v>
      </c>
      <c r="G70" s="2">
        <v>555</v>
      </c>
      <c r="H70" s="2">
        <f>49+(Table1[[#This Row],[Column2]]/60)+Table1[[#This Row],[Column1]]/36000</f>
        <v>49.448749999999997</v>
      </c>
      <c r="I70" s="8">
        <v>103.27419</v>
      </c>
      <c r="J70" s="3">
        <v>42131</v>
      </c>
      <c r="K70" t="s">
        <v>76</v>
      </c>
    </row>
    <row r="71" spans="1:11" x14ac:dyDescent="0.25">
      <c r="A71" s="2">
        <v>68</v>
      </c>
      <c r="B71" s="2">
        <v>154</v>
      </c>
      <c r="C71" s="2" t="s">
        <v>14</v>
      </c>
      <c r="D71" s="2" t="s">
        <v>11</v>
      </c>
      <c r="E71" s="2">
        <v>49</v>
      </c>
      <c r="F71" s="2">
        <v>26</v>
      </c>
      <c r="G71" s="2">
        <v>456</v>
      </c>
      <c r="H71" s="2">
        <f>49+(Table1[[#This Row],[Column2]]/60)+Table1[[#This Row],[Column1]]/36000</f>
        <v>49.445999999999998</v>
      </c>
      <c r="I71" s="8">
        <v>103.28062</v>
      </c>
      <c r="J71" s="3">
        <v>42131</v>
      </c>
      <c r="K71" t="s">
        <v>76</v>
      </c>
    </row>
    <row r="72" spans="1:11" x14ac:dyDescent="0.25">
      <c r="A72" s="2">
        <v>69</v>
      </c>
      <c r="B72" s="2">
        <v>157</v>
      </c>
      <c r="C72" s="2" t="s">
        <v>14</v>
      </c>
      <c r="D72" s="2" t="s">
        <v>11</v>
      </c>
      <c r="E72" s="2">
        <v>49</v>
      </c>
      <c r="F72" s="2">
        <v>26</v>
      </c>
      <c r="G72" s="2">
        <v>566</v>
      </c>
      <c r="H72" s="2">
        <f>49+(Table1[[#This Row],[Column2]]/60)+Table1[[#This Row],[Column1]]/36000</f>
        <v>49.449055555555553</v>
      </c>
      <c r="I72" s="8">
        <v>103.27409</v>
      </c>
      <c r="J72" s="3">
        <v>42132</v>
      </c>
      <c r="K72" t="s">
        <v>76</v>
      </c>
    </row>
    <row r="73" spans="1:11" x14ac:dyDescent="0.25">
      <c r="A73" s="2">
        <v>70</v>
      </c>
      <c r="B73" s="2">
        <v>154</v>
      </c>
      <c r="C73" s="2" t="s">
        <v>14</v>
      </c>
      <c r="D73" s="2" t="s">
        <v>11</v>
      </c>
      <c r="E73" s="2">
        <v>49</v>
      </c>
      <c r="F73" s="2">
        <v>26</v>
      </c>
      <c r="G73" s="2">
        <v>449</v>
      </c>
      <c r="H73" s="2">
        <f>49+(Table1[[#This Row],[Column2]]/60)+Table1[[#This Row],[Column1]]/36000</f>
        <v>49.445805555555552</v>
      </c>
      <c r="I73" s="8">
        <v>103.28310999999999</v>
      </c>
      <c r="J73" s="3">
        <v>42132</v>
      </c>
      <c r="K73" t="s">
        <v>76</v>
      </c>
    </row>
    <row r="74" spans="1:11" x14ac:dyDescent="0.25">
      <c r="A74" s="2">
        <v>71</v>
      </c>
      <c r="B74" s="2">
        <v>151</v>
      </c>
      <c r="C74" s="2" t="s">
        <v>14</v>
      </c>
      <c r="D74" s="2" t="s">
        <v>11</v>
      </c>
      <c r="E74" s="2">
        <v>49</v>
      </c>
      <c r="F74" s="2">
        <v>25</v>
      </c>
      <c r="G74" s="2">
        <v>544</v>
      </c>
      <c r="H74" s="2">
        <f>49+(Table1[[#This Row],[Column2]]/60)+Table1[[#This Row],[Column1]]/36000</f>
        <v>49.431777777777775</v>
      </c>
      <c r="I74" s="8">
        <v>103.30011</v>
      </c>
      <c r="J74" s="3">
        <v>42132</v>
      </c>
      <c r="K74" t="s">
        <v>76</v>
      </c>
    </row>
    <row r="75" spans="1:11" x14ac:dyDescent="0.25">
      <c r="A75" s="2">
        <v>72</v>
      </c>
      <c r="B75" s="2">
        <v>155</v>
      </c>
      <c r="C75" s="2" t="s">
        <v>14</v>
      </c>
      <c r="D75" s="2" t="s">
        <v>11</v>
      </c>
      <c r="E75" s="2">
        <v>49</v>
      </c>
      <c r="F75" s="2">
        <v>25</v>
      </c>
      <c r="G75" s="2">
        <v>353</v>
      </c>
      <c r="H75" s="2">
        <f>49+(Table1[[#This Row],[Column2]]/60)+Table1[[#This Row],[Column1]]/36000</f>
        <v>49.426472222222223</v>
      </c>
      <c r="I75" s="8">
        <v>103.30436</v>
      </c>
      <c r="J75" s="3">
        <v>42132</v>
      </c>
      <c r="K75" t="s">
        <v>76</v>
      </c>
    </row>
    <row r="76" spans="1:11" x14ac:dyDescent="0.25">
      <c r="A76" s="2">
        <v>73</v>
      </c>
      <c r="B76" s="2">
        <v>153</v>
      </c>
      <c r="C76" s="2" t="s">
        <v>14</v>
      </c>
      <c r="D76" s="2" t="s">
        <v>11</v>
      </c>
      <c r="E76" s="2">
        <v>49</v>
      </c>
      <c r="F76" s="2">
        <v>25</v>
      </c>
      <c r="G76" s="2">
        <v>571</v>
      </c>
      <c r="H76" s="2">
        <f>49+(Table1[[#This Row],[Column2]]/60)+Table1[[#This Row],[Column1]]/36000</f>
        <v>49.432527777777779</v>
      </c>
      <c r="I76" s="8">
        <v>103.31255</v>
      </c>
      <c r="J76" s="3">
        <v>42132</v>
      </c>
      <c r="K76" t="s">
        <v>76</v>
      </c>
    </row>
    <row r="77" spans="1:11" x14ac:dyDescent="0.25">
      <c r="A77" s="2">
        <v>74</v>
      </c>
      <c r="B77" s="2">
        <v>156</v>
      </c>
      <c r="C77" s="2" t="s">
        <v>14</v>
      </c>
      <c r="D77" s="2" t="s">
        <v>11</v>
      </c>
      <c r="E77" s="2">
        <v>49</v>
      </c>
      <c r="F77" s="2">
        <v>25</v>
      </c>
      <c r="G77" s="2">
        <v>573</v>
      </c>
      <c r="H77" s="2">
        <f>49+(Table1[[#This Row],[Column2]]/60)+Table1[[#This Row],[Column1]]/36000</f>
        <v>49.432583333333334</v>
      </c>
      <c r="I77" s="8">
        <v>103.32427</v>
      </c>
      <c r="J77" s="3">
        <v>42132</v>
      </c>
      <c r="K77" t="s">
        <v>76</v>
      </c>
    </row>
    <row r="78" spans="1:11" x14ac:dyDescent="0.25">
      <c r="A78" s="2">
        <v>75</v>
      </c>
      <c r="B78" s="2">
        <v>124</v>
      </c>
      <c r="C78" s="2" t="s">
        <v>14</v>
      </c>
      <c r="D78" s="2" t="s">
        <v>9</v>
      </c>
      <c r="E78" s="2">
        <v>49</v>
      </c>
      <c r="F78" s="2">
        <v>25</v>
      </c>
      <c r="G78" s="2">
        <v>411</v>
      </c>
      <c r="H78" s="2">
        <f>49+(Table1[[#This Row],[Column2]]/60)+Table1[[#This Row],[Column1]]/36000</f>
        <v>49.428083333333333</v>
      </c>
      <c r="I78" s="8">
        <v>103.34177</v>
      </c>
      <c r="J78" s="3">
        <v>42132</v>
      </c>
      <c r="K78" t="s">
        <v>76</v>
      </c>
    </row>
    <row r="79" spans="1:11" x14ac:dyDescent="0.25">
      <c r="A79" s="2">
        <v>76</v>
      </c>
      <c r="B79" s="2">
        <v>102</v>
      </c>
      <c r="C79" s="2" t="s">
        <v>14</v>
      </c>
      <c r="D79" s="2" t="s">
        <v>11</v>
      </c>
      <c r="E79" s="2">
        <v>49</v>
      </c>
      <c r="F79" s="2">
        <v>24</v>
      </c>
      <c r="G79" s="2">
        <v>137</v>
      </c>
      <c r="H79" s="2">
        <f>49+(Table1[[#This Row],[Column2]]/60)+Table1[[#This Row],[Column1]]/36000</f>
        <v>49.403805555555557</v>
      </c>
      <c r="I79" s="8">
        <v>103.34177</v>
      </c>
      <c r="J79" s="3">
        <v>42132</v>
      </c>
      <c r="K79" t="s">
        <v>76</v>
      </c>
    </row>
    <row r="80" spans="1:11" x14ac:dyDescent="0.25">
      <c r="A80" s="2">
        <v>77</v>
      </c>
      <c r="B80" s="2">
        <v>159</v>
      </c>
      <c r="C80" s="2" t="s">
        <v>14</v>
      </c>
      <c r="D80" s="2" t="s">
        <v>11</v>
      </c>
      <c r="E80" s="2">
        <v>49</v>
      </c>
      <c r="F80" s="2">
        <v>24</v>
      </c>
      <c r="G80" s="2">
        <v>137</v>
      </c>
      <c r="H80" s="2">
        <f>49+(Table1[[#This Row],[Column2]]/60)+Table1[[#This Row],[Column1]]/36000</f>
        <v>49.403805555555557</v>
      </c>
      <c r="I80" s="8">
        <v>103.38099</v>
      </c>
      <c r="J80" s="3">
        <v>42132</v>
      </c>
      <c r="K80" t="s">
        <v>76</v>
      </c>
    </row>
    <row r="81" spans="1:11" x14ac:dyDescent="0.25">
      <c r="A81" s="2">
        <v>78</v>
      </c>
      <c r="B81" s="2">
        <v>204</v>
      </c>
      <c r="C81" s="2" t="s">
        <v>14</v>
      </c>
      <c r="D81" s="2" t="s">
        <v>8</v>
      </c>
      <c r="E81" s="2">
        <v>49</v>
      </c>
      <c r="F81" s="2">
        <v>23</v>
      </c>
      <c r="G81" s="2">
        <v>584</v>
      </c>
      <c r="H81" s="2">
        <f>49+(Table1[[#This Row],[Column2]]/60)+Table1[[#This Row],[Column1]]/36000</f>
        <v>49.399555555555558</v>
      </c>
      <c r="I81" s="8">
        <v>103.37396</v>
      </c>
      <c r="J81" s="3">
        <v>42132</v>
      </c>
      <c r="K81" t="s">
        <v>76</v>
      </c>
    </row>
    <row r="82" spans="1:11" x14ac:dyDescent="0.25">
      <c r="A82" s="2">
        <v>79</v>
      </c>
      <c r="B82" s="2">
        <v>157</v>
      </c>
      <c r="C82" s="2" t="s">
        <v>14</v>
      </c>
      <c r="D82" s="2" t="s">
        <v>11</v>
      </c>
      <c r="E82" s="2">
        <v>49</v>
      </c>
      <c r="F82" s="2">
        <v>26</v>
      </c>
      <c r="G82" s="2">
        <v>567</v>
      </c>
      <c r="H82" s="2">
        <f>49+(Table1[[#This Row],[Column2]]/60)+Table1[[#This Row],[Column1]]/36000</f>
        <v>49.449083333333327</v>
      </c>
      <c r="I82" s="8">
        <v>103.27417</v>
      </c>
      <c r="J82" s="3">
        <v>42133</v>
      </c>
      <c r="K82" t="s">
        <v>76</v>
      </c>
    </row>
    <row r="83" spans="1:11" x14ac:dyDescent="0.25">
      <c r="A83" s="2">
        <v>80</v>
      </c>
      <c r="B83" s="2">
        <v>154</v>
      </c>
      <c r="C83" s="2" t="s">
        <v>14</v>
      </c>
      <c r="D83" s="2" t="s">
        <v>11</v>
      </c>
      <c r="E83" s="2">
        <v>49</v>
      </c>
      <c r="F83" s="2">
        <v>26</v>
      </c>
      <c r="G83" s="2">
        <v>444</v>
      </c>
      <c r="H83" s="2">
        <f>49+(Table1[[#This Row],[Column2]]/60)+Table1[[#This Row],[Column1]]/36000</f>
        <v>49.445666666666661</v>
      </c>
      <c r="I83" s="8">
        <v>103.2835</v>
      </c>
      <c r="J83" s="3">
        <v>42133</v>
      </c>
      <c r="K83" t="s">
        <v>76</v>
      </c>
    </row>
    <row r="84" spans="1:11" x14ac:dyDescent="0.25">
      <c r="A84" s="2">
        <v>81</v>
      </c>
      <c r="B84" s="2">
        <v>155</v>
      </c>
      <c r="C84" s="2" t="s">
        <v>14</v>
      </c>
      <c r="D84" s="2" t="s">
        <v>11</v>
      </c>
      <c r="E84" s="2">
        <v>49</v>
      </c>
      <c r="F84" s="2">
        <v>25</v>
      </c>
      <c r="G84" s="2">
        <v>357</v>
      </c>
      <c r="H84" s="2">
        <f>49+(Table1[[#This Row],[Column2]]/60)+Table1[[#This Row],[Column1]]/36000</f>
        <v>49.426583333333333</v>
      </c>
      <c r="I84" s="8">
        <v>103.30410000000001</v>
      </c>
      <c r="J84" s="3">
        <v>42133</v>
      </c>
      <c r="K84" t="s">
        <v>76</v>
      </c>
    </row>
    <row r="85" spans="1:11" x14ac:dyDescent="0.25">
      <c r="A85" s="2">
        <v>82</v>
      </c>
      <c r="B85" s="2">
        <v>151</v>
      </c>
      <c r="C85" s="2" t="s">
        <v>14</v>
      </c>
      <c r="D85" s="2" t="s">
        <v>11</v>
      </c>
      <c r="E85" s="2">
        <v>49</v>
      </c>
      <c r="F85" s="2">
        <v>25</v>
      </c>
      <c r="G85" s="2">
        <v>361</v>
      </c>
      <c r="H85" s="2">
        <f>49+(Table1[[#This Row],[Column2]]/60)+Table1[[#This Row],[Column1]]/36000</f>
        <v>49.426694444444443</v>
      </c>
      <c r="I85" s="8">
        <v>103.30421</v>
      </c>
      <c r="J85" s="3">
        <v>42133</v>
      </c>
      <c r="K85" t="s">
        <v>76</v>
      </c>
    </row>
    <row r="86" spans="1:11" x14ac:dyDescent="0.25">
      <c r="A86" s="2">
        <v>83</v>
      </c>
      <c r="B86" s="2">
        <v>153</v>
      </c>
      <c r="C86" s="2" t="s">
        <v>14</v>
      </c>
      <c r="D86" s="2" t="s">
        <v>7</v>
      </c>
      <c r="E86" s="2">
        <v>49</v>
      </c>
      <c r="F86" s="2">
        <v>25</v>
      </c>
      <c r="G86" s="2">
        <v>35</v>
      </c>
      <c r="H86" s="2">
        <f>49+(Table1[[#This Row],[Column2]]/60)+Table1[[#This Row],[Column1]]/36000</f>
        <v>49.417638888888888</v>
      </c>
      <c r="I86" s="8">
        <v>103.30459</v>
      </c>
      <c r="J86" s="3">
        <v>42133</v>
      </c>
      <c r="K86" t="s">
        <v>76</v>
      </c>
    </row>
    <row r="87" spans="1:11" x14ac:dyDescent="0.25">
      <c r="A87" s="2">
        <v>84</v>
      </c>
      <c r="B87" s="2">
        <v>124</v>
      </c>
      <c r="C87" s="2" t="s">
        <v>14</v>
      </c>
      <c r="D87" s="2" t="s">
        <v>9</v>
      </c>
      <c r="E87" s="2">
        <v>49</v>
      </c>
      <c r="F87" s="2">
        <v>25</v>
      </c>
      <c r="G87" s="2">
        <v>418</v>
      </c>
      <c r="H87" s="2">
        <f>49+(Table1[[#This Row],[Column2]]/60)+Table1[[#This Row],[Column1]]/36000</f>
        <v>49.428277777777772</v>
      </c>
      <c r="I87" s="8">
        <v>103.34183</v>
      </c>
      <c r="J87" s="3">
        <v>42133</v>
      </c>
      <c r="K87" t="s">
        <v>76</v>
      </c>
    </row>
    <row r="88" spans="1:11" x14ac:dyDescent="0.25">
      <c r="A88" s="2">
        <v>85</v>
      </c>
      <c r="B88" s="2">
        <v>159</v>
      </c>
      <c r="C88" s="2" t="s">
        <v>14</v>
      </c>
      <c r="D88" s="2" t="s">
        <v>11</v>
      </c>
      <c r="E88" s="2">
        <v>49</v>
      </c>
      <c r="F88" s="2">
        <v>24</v>
      </c>
      <c r="G88" s="2">
        <v>15</v>
      </c>
      <c r="H88" s="2">
        <f>49+(Table1[[#This Row],[Column2]]/60)+Table1[[#This Row],[Column1]]/36000</f>
        <v>49.400416666666665</v>
      </c>
      <c r="I88" s="8">
        <v>103.38101</v>
      </c>
      <c r="J88" s="3">
        <v>42133</v>
      </c>
      <c r="K88" t="s">
        <v>76</v>
      </c>
    </row>
    <row r="89" spans="1:11" x14ac:dyDescent="0.25">
      <c r="A89" s="2">
        <v>86</v>
      </c>
      <c r="B89" s="2">
        <v>102</v>
      </c>
      <c r="C89" s="2" t="s">
        <v>14</v>
      </c>
      <c r="D89" s="2" t="s">
        <v>11</v>
      </c>
      <c r="E89" s="2">
        <v>49</v>
      </c>
      <c r="F89" s="2">
        <v>24</v>
      </c>
      <c r="G89" s="2">
        <v>148</v>
      </c>
      <c r="H89" s="2">
        <f>49+(Table1[[#This Row],[Column2]]/60)+Table1[[#This Row],[Column1]]/36000</f>
        <v>49.404111111111106</v>
      </c>
      <c r="I89" s="8">
        <v>103.38095</v>
      </c>
      <c r="J89" s="3">
        <v>42133</v>
      </c>
      <c r="K89" t="s">
        <v>76</v>
      </c>
    </row>
    <row r="90" spans="1:11" x14ac:dyDescent="0.25">
      <c r="A90" s="2">
        <v>87</v>
      </c>
      <c r="B90" s="2">
        <v>204</v>
      </c>
      <c r="C90" s="2" t="s">
        <v>14</v>
      </c>
      <c r="D90" s="2" t="s">
        <v>8</v>
      </c>
      <c r="E90" s="2">
        <v>49</v>
      </c>
      <c r="F90" s="2">
        <v>23</v>
      </c>
      <c r="G90" s="2">
        <v>59</v>
      </c>
      <c r="H90" s="2">
        <f>49+(Table1[[#This Row],[Column2]]/60)+Table1[[#This Row],[Column1]]/36000</f>
        <v>49.384972222222224</v>
      </c>
      <c r="I90" s="8">
        <v>103.37417000000001</v>
      </c>
      <c r="J90" s="3">
        <v>42133</v>
      </c>
      <c r="K90" t="s">
        <v>76</v>
      </c>
    </row>
    <row r="91" spans="1:11" x14ac:dyDescent="0.25">
      <c r="A91" s="2">
        <v>88</v>
      </c>
      <c r="B91" s="2">
        <v>157</v>
      </c>
      <c r="C91" s="2" t="s">
        <v>14</v>
      </c>
      <c r="D91" s="2" t="s">
        <v>11</v>
      </c>
      <c r="E91" s="2">
        <v>49</v>
      </c>
      <c r="F91" s="2">
        <v>27</v>
      </c>
      <c r="G91" s="2">
        <v>6</v>
      </c>
      <c r="H91" s="2">
        <f>49+(Table1[[#This Row],[Column2]]/60)+Table1[[#This Row],[Column1]]/36000</f>
        <v>49.450166666666668</v>
      </c>
      <c r="I91" s="8">
        <v>103.27406999999999</v>
      </c>
      <c r="J91" s="3">
        <v>42134</v>
      </c>
      <c r="K91" t="s">
        <v>76</v>
      </c>
    </row>
    <row r="92" spans="1:11" x14ac:dyDescent="0.25">
      <c r="A92" s="2">
        <v>89</v>
      </c>
      <c r="B92" s="2">
        <v>154</v>
      </c>
      <c r="C92" s="2" t="s">
        <v>14</v>
      </c>
      <c r="D92" s="2" t="s">
        <v>11</v>
      </c>
      <c r="E92" s="2">
        <v>49</v>
      </c>
      <c r="F92" s="2">
        <v>26</v>
      </c>
      <c r="G92" s="2">
        <v>474</v>
      </c>
      <c r="H92" s="2">
        <f>49+(Table1[[#This Row],[Column2]]/60)+Table1[[#This Row],[Column1]]/36000</f>
        <v>49.446499999999993</v>
      </c>
      <c r="I92" s="8">
        <v>103.28333000000001</v>
      </c>
      <c r="J92" s="3">
        <v>42134</v>
      </c>
      <c r="K92" t="s">
        <v>76</v>
      </c>
    </row>
    <row r="93" spans="1:11" x14ac:dyDescent="0.25">
      <c r="A93" s="2">
        <v>90</v>
      </c>
      <c r="B93" s="2">
        <v>155</v>
      </c>
      <c r="C93" s="2" t="s">
        <v>14</v>
      </c>
      <c r="D93" s="2" t="s">
        <v>11</v>
      </c>
      <c r="E93" s="2">
        <v>49</v>
      </c>
      <c r="F93" s="2">
        <v>25</v>
      </c>
      <c r="G93" s="2">
        <v>399</v>
      </c>
      <c r="H93" s="2">
        <f>49+(Table1[[#This Row],[Column2]]/60)+Table1[[#This Row],[Column1]]/36000</f>
        <v>49.427749999999996</v>
      </c>
      <c r="I93" s="8">
        <v>103.30398</v>
      </c>
      <c r="J93" s="3">
        <v>42134</v>
      </c>
      <c r="K93" t="s">
        <v>76</v>
      </c>
    </row>
    <row r="94" spans="1:11" x14ac:dyDescent="0.25">
      <c r="A94" s="2">
        <v>91</v>
      </c>
      <c r="B94" s="2">
        <v>124</v>
      </c>
      <c r="C94" s="2" t="s">
        <v>14</v>
      </c>
      <c r="D94" s="2" t="s">
        <v>9</v>
      </c>
      <c r="E94" s="2">
        <v>49</v>
      </c>
      <c r="F94" s="2">
        <v>25</v>
      </c>
      <c r="G94" s="2">
        <v>424</v>
      </c>
      <c r="H94" s="2">
        <f>49+(Table1[[#This Row],[Column2]]/60)+Table1[[#This Row],[Column1]]/36000</f>
        <v>49.428444444444445</v>
      </c>
      <c r="I94" s="8">
        <v>103.34193999999999</v>
      </c>
      <c r="J94" s="3">
        <v>42134</v>
      </c>
      <c r="K94" t="s">
        <v>76</v>
      </c>
    </row>
    <row r="95" spans="1:11" x14ac:dyDescent="0.25">
      <c r="A95" s="2">
        <v>92</v>
      </c>
      <c r="B95" s="2">
        <v>159</v>
      </c>
      <c r="C95" s="2" t="s">
        <v>14</v>
      </c>
      <c r="D95" s="2" t="s">
        <v>11</v>
      </c>
      <c r="E95" s="2">
        <v>49</v>
      </c>
      <c r="F95" s="2">
        <v>24</v>
      </c>
      <c r="G95" s="2">
        <v>151</v>
      </c>
      <c r="H95" s="2">
        <f>49+(Table1[[#This Row],[Column2]]/60)+Table1[[#This Row],[Column1]]/36000</f>
        <v>49.404194444444443</v>
      </c>
      <c r="I95" s="8">
        <v>103.38113</v>
      </c>
      <c r="J95" s="3">
        <v>42134</v>
      </c>
      <c r="K95" t="s">
        <v>76</v>
      </c>
    </row>
    <row r="96" spans="1:11" x14ac:dyDescent="0.25">
      <c r="A96" s="2">
        <v>93</v>
      </c>
      <c r="B96" s="2">
        <v>204</v>
      </c>
      <c r="C96" s="2" t="s">
        <v>14</v>
      </c>
      <c r="D96" s="2" t="s">
        <v>8</v>
      </c>
      <c r="E96" s="2">
        <v>49</v>
      </c>
      <c r="F96" s="2">
        <v>23</v>
      </c>
      <c r="G96" s="2">
        <v>582</v>
      </c>
      <c r="H96" s="2">
        <f>49+(Table1[[#This Row],[Column2]]/60)+Table1[[#This Row],[Column1]]/36000</f>
        <v>49.399499999999996</v>
      </c>
      <c r="I96" s="8">
        <v>103.37397</v>
      </c>
      <c r="J96" s="3">
        <v>42134</v>
      </c>
      <c r="K96" t="s">
        <v>76</v>
      </c>
    </row>
    <row r="97" spans="1:19" x14ac:dyDescent="0.25">
      <c r="A97">
        <v>94</v>
      </c>
      <c r="B97">
        <v>104</v>
      </c>
      <c r="C97" t="s">
        <v>14</v>
      </c>
      <c r="D97" t="s">
        <v>11</v>
      </c>
      <c r="E97">
        <v>49.692439999999998</v>
      </c>
      <c r="H97">
        <f>49+(Table1[[#This Row],[Column2]]/60)+Table1[[#This Row],[Column1]]/36000</f>
        <v>49</v>
      </c>
      <c r="I97" s="9">
        <v>102.98595</v>
      </c>
      <c r="J97" s="5">
        <v>42166</v>
      </c>
      <c r="K97" t="s">
        <v>57</v>
      </c>
    </row>
    <row r="98" spans="1:19" x14ac:dyDescent="0.25">
      <c r="A98">
        <v>95</v>
      </c>
      <c r="B98">
        <v>133</v>
      </c>
      <c r="C98" t="s">
        <v>14</v>
      </c>
      <c r="D98" t="s">
        <v>11</v>
      </c>
      <c r="E98">
        <v>49.706099999999999</v>
      </c>
      <c r="H98">
        <f>49+(Table1[[#This Row],[Column2]]/60)+Table1[[#This Row],[Column1]]/36000</f>
        <v>49</v>
      </c>
      <c r="I98" s="9">
        <v>103.10357999999999</v>
      </c>
      <c r="J98" s="5">
        <v>42166</v>
      </c>
    </row>
    <row r="99" spans="1:19" x14ac:dyDescent="0.25">
      <c r="A99">
        <v>96</v>
      </c>
      <c r="B99">
        <v>137</v>
      </c>
      <c r="C99" t="s">
        <v>14</v>
      </c>
      <c r="D99" t="s">
        <v>11</v>
      </c>
      <c r="E99">
        <v>49.70534</v>
      </c>
      <c r="H99">
        <f>49+(Table1[[#This Row],[Column2]]/60)+Table1[[#This Row],[Column1]]/36000</f>
        <v>49</v>
      </c>
      <c r="I99" s="9">
        <v>103.10759</v>
      </c>
      <c r="J99" s="5">
        <v>42166</v>
      </c>
    </row>
    <row r="100" spans="1:19" x14ac:dyDescent="0.25">
      <c r="A100">
        <v>97</v>
      </c>
      <c r="B100">
        <v>105</v>
      </c>
      <c r="C100" t="s">
        <v>14</v>
      </c>
      <c r="D100" t="s">
        <v>11</v>
      </c>
      <c r="E100">
        <v>49.689639999999997</v>
      </c>
      <c r="H100">
        <f>49+(Table1[[#This Row],[Column2]]/60)+Table1[[#This Row],[Column1]]/36000</f>
        <v>49</v>
      </c>
      <c r="I100" s="9">
        <v>103.05404</v>
      </c>
      <c r="J100" s="5">
        <v>42166</v>
      </c>
      <c r="K100" t="s">
        <v>55</v>
      </c>
    </row>
    <row r="101" spans="1:19" x14ac:dyDescent="0.25">
      <c r="A101">
        <v>98</v>
      </c>
      <c r="B101">
        <v>128</v>
      </c>
      <c r="C101" t="s">
        <v>14</v>
      </c>
      <c r="D101" t="s">
        <v>9</v>
      </c>
      <c r="E101">
        <v>49.434750000000001</v>
      </c>
      <c r="H101">
        <f>49+(Table1[[#This Row],[Column2]]/60)+Table1[[#This Row],[Column1]]/36000</f>
        <v>49</v>
      </c>
      <c r="I101" s="9">
        <v>103.55743</v>
      </c>
      <c r="J101" s="5">
        <v>42166</v>
      </c>
      <c r="K101" t="s">
        <v>56</v>
      </c>
    </row>
    <row r="102" spans="1:19" x14ac:dyDescent="0.25">
      <c r="A102">
        <v>99</v>
      </c>
      <c r="B102">
        <v>150</v>
      </c>
      <c r="C102" t="s">
        <v>13</v>
      </c>
      <c r="D102" t="s">
        <v>8</v>
      </c>
      <c r="E102">
        <v>49.36356</v>
      </c>
      <c r="H102">
        <f>49+(Table1[[#This Row],[Column2]]/60)+Table1[[#This Row],[Column1]]/36000</f>
        <v>49</v>
      </c>
      <c r="I102" s="9">
        <v>103.5403</v>
      </c>
      <c r="J102" s="5">
        <v>42168</v>
      </c>
    </row>
    <row r="103" spans="1:19" x14ac:dyDescent="0.25">
      <c r="A103">
        <v>100</v>
      </c>
      <c r="B103">
        <v>126</v>
      </c>
      <c r="C103" t="s">
        <v>69</v>
      </c>
      <c r="D103" t="s">
        <v>9</v>
      </c>
      <c r="E103">
        <v>49.388440000000003</v>
      </c>
      <c r="H103">
        <f>49+(Table1[[#This Row],[Column2]]/60)+Table1[[#This Row],[Column1]]/36000</f>
        <v>49</v>
      </c>
      <c r="I103" s="9">
        <v>103.62363999999999</v>
      </c>
      <c r="J103" s="5">
        <v>42168</v>
      </c>
      <c r="K103" t="s">
        <v>70</v>
      </c>
    </row>
    <row r="104" spans="1:19" x14ac:dyDescent="0.25">
      <c r="A104">
        <v>101</v>
      </c>
      <c r="B104">
        <v>120</v>
      </c>
      <c r="C104" t="s">
        <v>14</v>
      </c>
      <c r="D104" t="s">
        <v>11</v>
      </c>
      <c r="E104">
        <v>49.605989999999998</v>
      </c>
      <c r="H104">
        <f>49+(Table1[[#This Row],[Column2]]/60)+Table1[[#This Row],[Column1]]/36000</f>
        <v>49</v>
      </c>
      <c r="I104" s="9">
        <v>103.18223999999999</v>
      </c>
      <c r="J104" s="5">
        <v>42169</v>
      </c>
      <c r="R104">
        <v>151.11000000000001</v>
      </c>
    </row>
    <row r="105" spans="1:19" x14ac:dyDescent="0.25">
      <c r="A105">
        <v>102</v>
      </c>
      <c r="B105">
        <v>134</v>
      </c>
      <c r="C105" t="s">
        <v>14</v>
      </c>
      <c r="D105" t="s">
        <v>11</v>
      </c>
      <c r="E105">
        <v>49.597880000000004</v>
      </c>
      <c r="H105">
        <f>49+(Table1[[#This Row],[Column2]]/60)+Table1[[#This Row],[Column1]]/36000</f>
        <v>49</v>
      </c>
      <c r="I105" s="9">
        <v>103.21043</v>
      </c>
      <c r="J105" s="5">
        <v>42169</v>
      </c>
      <c r="R105">
        <v>151.11000000000001</v>
      </c>
    </row>
    <row r="106" spans="1:19" x14ac:dyDescent="0.25">
      <c r="A106">
        <v>103</v>
      </c>
      <c r="B106">
        <v>158</v>
      </c>
      <c r="C106" t="s">
        <v>14</v>
      </c>
      <c r="D106" t="s">
        <v>11</v>
      </c>
      <c r="E106">
        <v>49.597450000000002</v>
      </c>
      <c r="H106">
        <f>49+(Table1[[#This Row],[Column2]]/60)+Table1[[#This Row],[Column1]]/36000</f>
        <v>49</v>
      </c>
      <c r="I106" s="9">
        <v>103.21227</v>
      </c>
      <c r="J106" s="5">
        <v>42169</v>
      </c>
      <c r="R106">
        <v>149.69999999999999</v>
      </c>
    </row>
    <row r="107" spans="1:19" x14ac:dyDescent="0.25">
      <c r="A107">
        <v>104</v>
      </c>
      <c r="B107">
        <v>154</v>
      </c>
      <c r="C107" t="s">
        <v>14</v>
      </c>
      <c r="D107" t="s">
        <v>11</v>
      </c>
      <c r="E107">
        <v>49.514479999999999</v>
      </c>
      <c r="H107">
        <f>49+(Table1[[#This Row],[Column2]]/60)+Table1[[#This Row],[Column1]]/36000</f>
        <v>49</v>
      </c>
      <c r="I107" s="9">
        <v>103.32999</v>
      </c>
      <c r="J107" s="5">
        <v>42170</v>
      </c>
      <c r="R107">
        <v>149.69999999999999</v>
      </c>
    </row>
    <row r="108" spans="1:19" x14ac:dyDescent="0.25">
      <c r="A108">
        <v>105</v>
      </c>
      <c r="B108">
        <v>157</v>
      </c>
      <c r="C108" t="s">
        <v>73</v>
      </c>
      <c r="D108" t="s">
        <v>11</v>
      </c>
      <c r="E108">
        <v>49.444310000000002</v>
      </c>
      <c r="H108">
        <f>49+(Table1[[#This Row],[Column2]]/60)+Table1[[#This Row],[Column1]]/36000</f>
        <v>49</v>
      </c>
      <c r="I108" s="9">
        <v>103.48513</v>
      </c>
      <c r="J108" s="5">
        <v>42170</v>
      </c>
      <c r="R108">
        <v>149.69999999999999</v>
      </c>
    </row>
    <row r="109" spans="1:19" x14ac:dyDescent="0.25">
      <c r="A109">
        <v>106</v>
      </c>
      <c r="B109">
        <v>155</v>
      </c>
      <c r="C109" t="s">
        <v>73</v>
      </c>
      <c r="D109" t="s">
        <v>11</v>
      </c>
      <c r="E109">
        <v>49.427329999999998</v>
      </c>
      <c r="H109">
        <f>49+(Table1[[#This Row],[Column2]]/60)+Table1[[#This Row],[Column1]]/36000</f>
        <v>49</v>
      </c>
      <c r="I109" s="9">
        <v>103.51018000000001</v>
      </c>
      <c r="J109" s="5">
        <v>42170</v>
      </c>
      <c r="R109">
        <v>149.69999999999999</v>
      </c>
    </row>
    <row r="110" spans="1:19" x14ac:dyDescent="0.25">
      <c r="A110">
        <v>107</v>
      </c>
      <c r="B110">
        <v>153</v>
      </c>
      <c r="C110" t="s">
        <v>73</v>
      </c>
      <c r="D110" t="s">
        <v>7</v>
      </c>
      <c r="E110">
        <v>49.42653</v>
      </c>
      <c r="H110">
        <f>49+(Table1[[#This Row],[Column2]]/60)+Table1[[#This Row],[Column1]]/36000</f>
        <v>49</v>
      </c>
      <c r="I110" s="9">
        <v>103.51197000000001</v>
      </c>
      <c r="J110" s="5">
        <v>42170</v>
      </c>
      <c r="R110">
        <v>149.69999999999999</v>
      </c>
    </row>
    <row r="111" spans="1:19" x14ac:dyDescent="0.25">
      <c r="A111">
        <v>108</v>
      </c>
      <c r="B111">
        <v>190</v>
      </c>
      <c r="C111" t="s">
        <v>73</v>
      </c>
      <c r="D111" t="s">
        <v>9</v>
      </c>
      <c r="E111">
        <v>49.434750000000001</v>
      </c>
      <c r="H111">
        <f>49+(Table1[[#This Row],[Column2]]/60)+Table1[[#This Row],[Column1]]/36000</f>
        <v>49</v>
      </c>
      <c r="I111" s="9">
        <v>103.55743</v>
      </c>
      <c r="J111" s="5">
        <v>42167</v>
      </c>
      <c r="K111" t="s">
        <v>75</v>
      </c>
      <c r="R111">
        <v>149.69999999999999</v>
      </c>
      <c r="S111">
        <v>780</v>
      </c>
    </row>
    <row r="112" spans="1:19" x14ac:dyDescent="0.25">
      <c r="A112">
        <v>109</v>
      </c>
      <c r="B112">
        <v>105</v>
      </c>
      <c r="C112" t="s">
        <v>73</v>
      </c>
      <c r="D112" t="s">
        <v>11</v>
      </c>
      <c r="E112">
        <v>50.251649999999998</v>
      </c>
      <c r="H112">
        <f>49+(Table1[[#This Row],[Column2]]/60)+Table1[[#This Row],[Column1]]/36000</f>
        <v>49</v>
      </c>
      <c r="I112" s="9">
        <v>101.99181</v>
      </c>
      <c r="J112" s="5">
        <v>42539</v>
      </c>
      <c r="K112" t="s">
        <v>98</v>
      </c>
    </row>
    <row r="113" spans="1:18" x14ac:dyDescent="0.25">
      <c r="A113">
        <v>110</v>
      </c>
      <c r="B113">
        <v>151</v>
      </c>
      <c r="C113" t="s">
        <v>73</v>
      </c>
      <c r="D113" t="s">
        <v>11</v>
      </c>
      <c r="E113">
        <v>49.892490000000002</v>
      </c>
      <c r="H113">
        <f>49+(Table1[[#This Row],[Column2]]/60)+Table1[[#This Row],[Column1]]/36000</f>
        <v>49</v>
      </c>
      <c r="I113" s="9">
        <v>102.47989</v>
      </c>
      <c r="J113" s="5">
        <v>42540</v>
      </c>
      <c r="K113" t="s">
        <v>98</v>
      </c>
      <c r="R113">
        <v>149.69999999999999</v>
      </c>
    </row>
    <row r="114" spans="1:18" x14ac:dyDescent="0.25">
      <c r="A114">
        <v>111</v>
      </c>
      <c r="B114">
        <v>159</v>
      </c>
      <c r="C114" t="s">
        <v>73</v>
      </c>
      <c r="D114" t="s">
        <v>11</v>
      </c>
      <c r="E114">
        <v>49.862929999999999</v>
      </c>
      <c r="H114">
        <f>49+(Table1[[#This Row],[Column2]]/60)+Table1[[#This Row],[Column1]]/36000</f>
        <v>49</v>
      </c>
      <c r="I114" s="9">
        <v>102.53576</v>
      </c>
      <c r="J114" s="5">
        <v>42540</v>
      </c>
      <c r="K114" t="s">
        <v>98</v>
      </c>
      <c r="R114">
        <v>149.69999999999999</v>
      </c>
    </row>
    <row r="115" spans="1:18" x14ac:dyDescent="0.25">
      <c r="A115" s="11">
        <v>112</v>
      </c>
      <c r="B115" s="11">
        <v>108</v>
      </c>
      <c r="C115" s="11" t="s">
        <v>73</v>
      </c>
      <c r="D115" s="11"/>
      <c r="E115" s="11">
        <v>49.857340000000001</v>
      </c>
      <c r="F115" s="11"/>
      <c r="G115" s="11"/>
      <c r="H115" s="11">
        <f>49+(Table1[[#This Row],[Column2]]/60)+Table1[[#This Row],[Column1]]/36000</f>
        <v>49</v>
      </c>
      <c r="I115" s="12">
        <v>102.54469</v>
      </c>
      <c r="J115" s="13">
        <v>42540</v>
      </c>
      <c r="K115" s="11" t="s">
        <v>98</v>
      </c>
      <c r="R115">
        <v>151.11000000000001</v>
      </c>
    </row>
    <row r="116" spans="1:18" x14ac:dyDescent="0.25">
      <c r="A116" s="11">
        <v>113</v>
      </c>
      <c r="B116" s="11">
        <v>185</v>
      </c>
      <c r="C116" s="11" t="s">
        <v>73</v>
      </c>
      <c r="D116" s="11"/>
      <c r="E116" s="11">
        <v>49.80791</v>
      </c>
      <c r="F116" s="11"/>
      <c r="G116" s="11"/>
      <c r="H116" s="11">
        <f>49+(Table1[[#This Row],[Column2]]/60)+Table1[[#This Row],[Column1]]/36000</f>
        <v>49</v>
      </c>
      <c r="I116" s="12">
        <v>102.62691</v>
      </c>
      <c r="J116" s="13">
        <v>42540</v>
      </c>
      <c r="K116" s="11" t="s">
        <v>98</v>
      </c>
      <c r="R116">
        <v>149.69999999999999</v>
      </c>
    </row>
    <row r="117" spans="1:18" x14ac:dyDescent="0.25">
      <c r="A117" s="11">
        <v>114</v>
      </c>
      <c r="B117" s="11">
        <v>189</v>
      </c>
      <c r="C117" s="11" t="s">
        <v>73</v>
      </c>
      <c r="D117" s="11"/>
      <c r="E117" s="11">
        <v>49.789639999999999</v>
      </c>
      <c r="F117" s="11"/>
      <c r="G117" s="11"/>
      <c r="H117" s="11">
        <f>49+(Table1[[#This Row],[Column2]]/60)+Table1[[#This Row],[Column1]]/36000</f>
        <v>49</v>
      </c>
      <c r="I117" s="12">
        <v>102.64596</v>
      </c>
      <c r="J117" s="13">
        <v>42540</v>
      </c>
      <c r="K117" s="11" t="s">
        <v>98</v>
      </c>
      <c r="R117">
        <v>149.69999999999999</v>
      </c>
    </row>
    <row r="118" spans="1:18" x14ac:dyDescent="0.25">
      <c r="A118">
        <v>115</v>
      </c>
      <c r="B118">
        <v>104</v>
      </c>
      <c r="C118" t="s">
        <v>73</v>
      </c>
      <c r="E118">
        <v>49.691670000000002</v>
      </c>
      <c r="H118">
        <f>49+(Table1[[#This Row],[Column2]]/60)+Table1[[#This Row],[Column1]]/36000</f>
        <v>49</v>
      </c>
      <c r="I118" s="9">
        <v>102.98572</v>
      </c>
      <c r="J118" s="5">
        <v>42541</v>
      </c>
      <c r="K118" t="s">
        <v>98</v>
      </c>
      <c r="R118">
        <v>151.11000000000001</v>
      </c>
    </row>
    <row r="119" spans="1:18" x14ac:dyDescent="0.25">
      <c r="A119">
        <v>116</v>
      </c>
      <c r="B119">
        <v>133</v>
      </c>
      <c r="C119" t="s">
        <v>73</v>
      </c>
      <c r="E119">
        <v>49.705919999999999</v>
      </c>
      <c r="H119">
        <f>49+(Table1[[#This Row],[Column2]]/60)+Table1[[#This Row],[Column1]]/36000</f>
        <v>49</v>
      </c>
      <c r="I119" s="9">
        <v>103.10526</v>
      </c>
      <c r="J119" s="5">
        <v>42541</v>
      </c>
      <c r="K119" t="s">
        <v>98</v>
      </c>
      <c r="R119">
        <v>151.11000000000001</v>
      </c>
    </row>
    <row r="120" spans="1:18" x14ac:dyDescent="0.25">
      <c r="A120">
        <v>117</v>
      </c>
      <c r="B120">
        <v>137</v>
      </c>
      <c r="C120" t="s">
        <v>73</v>
      </c>
      <c r="E120">
        <v>49.704990000000002</v>
      </c>
      <c r="H120">
        <f>49+(Table1[[#This Row],[Column2]]/60)+Table1[[#This Row],[Column1]]/36000</f>
        <v>49</v>
      </c>
      <c r="I120" s="9">
        <v>103.10748</v>
      </c>
      <c r="J120" s="5">
        <v>42541</v>
      </c>
      <c r="K120" t="s">
        <v>98</v>
      </c>
      <c r="R120">
        <v>151.11000000000001</v>
      </c>
    </row>
    <row r="121" spans="1:18" x14ac:dyDescent="0.25">
      <c r="A121">
        <v>118</v>
      </c>
      <c r="B121">
        <v>181</v>
      </c>
      <c r="C121" t="s">
        <v>73</v>
      </c>
      <c r="E121">
        <v>49.475349999999999</v>
      </c>
      <c r="H121">
        <f>49+(Table1[[#This Row],[Column2]]/60)+Table1[[#This Row],[Column1]]/36000</f>
        <v>49</v>
      </c>
      <c r="I121" s="9">
        <v>103.35597</v>
      </c>
      <c r="J121" s="5">
        <v>42542</v>
      </c>
      <c r="K121" t="s">
        <v>98</v>
      </c>
      <c r="R121">
        <v>149.69999999999999</v>
      </c>
    </row>
    <row r="122" spans="1:18" x14ac:dyDescent="0.25">
      <c r="A122">
        <v>119</v>
      </c>
      <c r="B122">
        <v>157</v>
      </c>
      <c r="C122" t="s">
        <v>73</v>
      </c>
      <c r="D122" t="s">
        <v>11</v>
      </c>
      <c r="E122">
        <v>49.431480000000001</v>
      </c>
      <c r="H122">
        <f>49+(Table1[[#This Row],[Column2]]/60)+Table1[[#This Row],[Column1]]/36000</f>
        <v>49</v>
      </c>
      <c r="I122" s="9">
        <v>103.50161</v>
      </c>
      <c r="J122" s="5">
        <v>42542</v>
      </c>
      <c r="K122" t="s">
        <v>98</v>
      </c>
      <c r="R122">
        <v>149.69999999999999</v>
      </c>
    </row>
    <row r="123" spans="1:18" x14ac:dyDescent="0.25">
      <c r="A123">
        <v>120</v>
      </c>
      <c r="B123">
        <v>155</v>
      </c>
      <c r="C123" t="s">
        <v>73</v>
      </c>
      <c r="D123" t="s">
        <v>11</v>
      </c>
      <c r="E123">
        <v>49.428519999999999</v>
      </c>
      <c r="H123">
        <f>49+(Table1[[#This Row],[Column2]]/60)+Table1[[#This Row],[Column1]]/36000</f>
        <v>49</v>
      </c>
      <c r="I123" s="9">
        <v>103.51897</v>
      </c>
      <c r="J123" s="5">
        <v>42542</v>
      </c>
      <c r="K123" t="s">
        <v>98</v>
      </c>
      <c r="R123">
        <v>149.69999999999999</v>
      </c>
    </row>
    <row r="124" spans="1:18" x14ac:dyDescent="0.25">
      <c r="A124">
        <v>121</v>
      </c>
      <c r="B124">
        <v>124</v>
      </c>
      <c r="C124" t="s">
        <v>73</v>
      </c>
      <c r="E124">
        <v>49.428310000000003</v>
      </c>
      <c r="H124">
        <f>49+(Table1[[#This Row],[Column2]]/60)+Table1[[#This Row],[Column1]]/36000</f>
        <v>49</v>
      </c>
      <c r="I124" s="9">
        <v>103.57181</v>
      </c>
      <c r="J124" s="5">
        <v>42543</v>
      </c>
      <c r="K124" t="s">
        <v>98</v>
      </c>
      <c r="R124">
        <v>151.11000000000001</v>
      </c>
    </row>
    <row r="125" spans="1:18" x14ac:dyDescent="0.25">
      <c r="A125">
        <v>122</v>
      </c>
      <c r="B125">
        <v>207</v>
      </c>
      <c r="C125" t="s">
        <v>13</v>
      </c>
      <c r="E125">
        <v>49.474400000000003</v>
      </c>
      <c r="H125">
        <f>49+(Table1[[#This Row],[Column2]]/60)+Table1[[#This Row],[Column1]]/36000</f>
        <v>49</v>
      </c>
      <c r="I125" s="9">
        <v>103.86441000000001</v>
      </c>
      <c r="J125" s="5">
        <v>42543</v>
      </c>
      <c r="K125" t="s">
        <v>98</v>
      </c>
      <c r="R125">
        <v>149.69999999999999</v>
      </c>
    </row>
    <row r="126" spans="1:18" x14ac:dyDescent="0.25">
      <c r="A126">
        <v>123</v>
      </c>
      <c r="B126">
        <v>154</v>
      </c>
      <c r="C126" t="s">
        <v>13</v>
      </c>
      <c r="E126">
        <v>49.466450000000002</v>
      </c>
      <c r="H126">
        <f>49+(Table1[[#This Row],[Column2]]/60)+Table1[[#This Row],[Column1]]/36000</f>
        <v>49</v>
      </c>
      <c r="I126" s="9">
        <v>104.13388999999999</v>
      </c>
      <c r="J126" s="5">
        <v>42543</v>
      </c>
      <c r="K126" t="s">
        <v>98</v>
      </c>
      <c r="R126">
        <v>149.69999999999999</v>
      </c>
    </row>
    <row r="127" spans="1:18" x14ac:dyDescent="0.25">
      <c r="A127" s="11">
        <v>124</v>
      </c>
      <c r="B127" s="11">
        <v>152</v>
      </c>
      <c r="C127" s="11" t="s">
        <v>13</v>
      </c>
      <c r="D127" s="11"/>
      <c r="E127" s="11">
        <v>49.586779999999997</v>
      </c>
      <c r="F127" s="11"/>
      <c r="G127" s="11"/>
      <c r="H127" s="11">
        <f>49+(Table1[[#This Row],[Column2]]/60)+Table1[[#This Row],[Column1]]/36000</f>
        <v>49</v>
      </c>
      <c r="I127" s="12">
        <v>104.46561</v>
      </c>
      <c r="J127" s="13">
        <v>42544</v>
      </c>
      <c r="K127" s="11" t="s">
        <v>98</v>
      </c>
      <c r="R127">
        <v>149.69999999999999</v>
      </c>
    </row>
    <row r="128" spans="1:18" x14ac:dyDescent="0.25">
      <c r="H128">
        <f>49+(Table1[[#This Row],[Column2]]/60)+Table1[[#This Row],[Column1]]/36000</f>
        <v>49</v>
      </c>
      <c r="I128" s="9"/>
    </row>
  </sheetData>
  <conditionalFormatting sqref="A37 C37:XFD37">
    <cfRule type="cellIs" dxfId="1" priority="1" operator="equal">
      <formula>130</formula>
    </cfRule>
  </conditionalFormatting>
  <conditionalFormatting sqref="B4:B36 B38:B128">
    <cfRule type="cellIs" dxfId="0" priority="2" operator="equal">
      <formula>107</formula>
    </cfRule>
  </conditionalFormatting>
  <pageMargins left="0.7" right="0.7" top="0.75" bottom="0.75" header="0.3" footer="0.3"/>
  <pageSetup orientation="portrait" horizontalDpi="0" verticalDpi="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I5" sqref="I5"/>
    </sheetView>
  </sheetViews>
  <sheetFormatPr defaultRowHeight="15" x14ac:dyDescent="0.25"/>
  <cols>
    <col min="2" max="2" width="9.7109375" bestFit="1" customWidth="1"/>
    <col min="3" max="3" width="39.42578125" bestFit="1" customWidth="1"/>
    <col min="4" max="4" width="13.5703125" bestFit="1" customWidth="1"/>
    <col min="5" max="5" width="15.140625" bestFit="1" customWidth="1"/>
    <col min="6" max="6" width="12.5703125" bestFit="1" customWidth="1"/>
    <col min="7" max="7" width="14.28515625" bestFit="1" customWidth="1"/>
    <col min="8" max="8" width="39.140625" bestFit="1" customWidth="1"/>
    <col min="9" max="9" width="31.140625" bestFit="1" customWidth="1"/>
  </cols>
  <sheetData>
    <row r="1" spans="1:10" x14ac:dyDescent="0.25">
      <c r="A1" t="s">
        <v>0</v>
      </c>
      <c r="B1" t="s">
        <v>16</v>
      </c>
      <c r="C1" t="s">
        <v>17</v>
      </c>
      <c r="D1" t="s">
        <v>62</v>
      </c>
      <c r="E1" t="s">
        <v>63</v>
      </c>
      <c r="F1" t="s">
        <v>64</v>
      </c>
      <c r="G1" t="s">
        <v>65</v>
      </c>
      <c r="H1" t="s">
        <v>18</v>
      </c>
      <c r="I1" t="s">
        <v>19</v>
      </c>
      <c r="J1" t="s">
        <v>79</v>
      </c>
    </row>
    <row r="2" spans="1:10" x14ac:dyDescent="0.25">
      <c r="A2">
        <v>1</v>
      </c>
      <c r="B2" s="5">
        <v>42109</v>
      </c>
      <c r="C2" t="s">
        <v>20</v>
      </c>
      <c r="D2">
        <v>49.363460000000003</v>
      </c>
      <c r="E2">
        <v>103.53986</v>
      </c>
      <c r="H2" t="s">
        <v>21</v>
      </c>
      <c r="I2" t="s">
        <v>13</v>
      </c>
      <c r="J2" t="s">
        <v>76</v>
      </c>
    </row>
    <row r="3" spans="1:10" x14ac:dyDescent="0.25">
      <c r="A3">
        <v>2</v>
      </c>
      <c r="B3" s="5">
        <v>42113</v>
      </c>
      <c r="C3" t="s">
        <v>22</v>
      </c>
      <c r="D3">
        <v>49.212690000000002</v>
      </c>
      <c r="E3">
        <v>103.31092</v>
      </c>
      <c r="H3" t="s">
        <v>21</v>
      </c>
      <c r="J3" t="s">
        <v>76</v>
      </c>
    </row>
    <row r="4" spans="1:10" x14ac:dyDescent="0.25">
      <c r="A4">
        <v>3</v>
      </c>
      <c r="B4" s="5">
        <v>42115</v>
      </c>
      <c r="C4" t="s">
        <v>23</v>
      </c>
      <c r="D4">
        <v>49.265389999999996</v>
      </c>
      <c r="E4">
        <v>103.27012999999999</v>
      </c>
      <c r="H4" t="s">
        <v>24</v>
      </c>
      <c r="I4" t="s">
        <v>14</v>
      </c>
      <c r="J4" t="s">
        <v>76</v>
      </c>
    </row>
    <row r="5" spans="1:10" x14ac:dyDescent="0.25">
      <c r="A5">
        <v>4</v>
      </c>
      <c r="B5" s="5">
        <v>42117</v>
      </c>
      <c r="C5" t="s">
        <v>25</v>
      </c>
      <c r="D5">
        <v>49.183169999999997</v>
      </c>
      <c r="E5">
        <v>103.39234999999999</v>
      </c>
      <c r="H5" t="s">
        <v>26</v>
      </c>
      <c r="I5" t="s">
        <v>27</v>
      </c>
      <c r="J5" t="s">
        <v>76</v>
      </c>
    </row>
    <row r="6" spans="1:10" x14ac:dyDescent="0.25">
      <c r="A6">
        <v>5</v>
      </c>
      <c r="B6" s="5">
        <v>42119</v>
      </c>
      <c r="C6" t="s">
        <v>28</v>
      </c>
      <c r="D6">
        <v>49.25224</v>
      </c>
      <c r="E6">
        <v>103.38075000000001</v>
      </c>
      <c r="I6" t="s">
        <v>29</v>
      </c>
      <c r="J6" t="s">
        <v>76</v>
      </c>
    </row>
    <row r="7" spans="1:10" x14ac:dyDescent="0.25">
      <c r="A7">
        <v>6</v>
      </c>
      <c r="B7" s="5">
        <v>42119</v>
      </c>
      <c r="C7" t="s">
        <v>30</v>
      </c>
      <c r="D7">
        <v>49.231499999999997</v>
      </c>
      <c r="E7">
        <v>103.38478000000001</v>
      </c>
      <c r="H7" t="s">
        <v>21</v>
      </c>
      <c r="I7" t="s">
        <v>13</v>
      </c>
      <c r="J7" t="s">
        <v>76</v>
      </c>
    </row>
    <row r="8" spans="1:10" x14ac:dyDescent="0.25">
      <c r="A8">
        <v>7</v>
      </c>
      <c r="B8" s="5">
        <v>42120</v>
      </c>
      <c r="C8" t="s">
        <v>31</v>
      </c>
      <c r="D8">
        <v>49.231929999999998</v>
      </c>
      <c r="E8">
        <v>103.38498</v>
      </c>
      <c r="H8" t="s">
        <v>32</v>
      </c>
      <c r="J8" t="s">
        <v>76</v>
      </c>
    </row>
    <row r="9" spans="1:10" x14ac:dyDescent="0.25">
      <c r="A9">
        <v>8</v>
      </c>
      <c r="B9" s="5">
        <v>42121</v>
      </c>
      <c r="C9" t="s">
        <v>33</v>
      </c>
      <c r="D9">
        <v>49.231850000000001</v>
      </c>
      <c r="E9">
        <v>103.38479</v>
      </c>
      <c r="H9" t="s">
        <v>34</v>
      </c>
      <c r="I9" t="s">
        <v>35</v>
      </c>
      <c r="J9" t="s">
        <v>76</v>
      </c>
    </row>
    <row r="10" spans="1:10" x14ac:dyDescent="0.25">
      <c r="A10">
        <v>9</v>
      </c>
      <c r="B10" s="5">
        <v>42121</v>
      </c>
      <c r="C10" t="s">
        <v>36</v>
      </c>
      <c r="D10">
        <v>49.204799999999999</v>
      </c>
      <c r="E10">
        <v>103.27522999999999</v>
      </c>
      <c r="H10" t="s">
        <v>21</v>
      </c>
      <c r="I10" t="s">
        <v>13</v>
      </c>
      <c r="J10" t="s">
        <v>76</v>
      </c>
    </row>
    <row r="11" spans="1:10" x14ac:dyDescent="0.25">
      <c r="A11">
        <v>10</v>
      </c>
      <c r="B11" s="5">
        <v>42121</v>
      </c>
      <c r="C11" t="s">
        <v>37</v>
      </c>
      <c r="D11">
        <v>49.243290000000002</v>
      </c>
      <c r="E11">
        <v>103.38299000000001</v>
      </c>
      <c r="H11" t="s">
        <v>21</v>
      </c>
      <c r="I11" t="s">
        <v>14</v>
      </c>
      <c r="J11" t="s">
        <v>76</v>
      </c>
    </row>
    <row r="12" spans="1:10" x14ac:dyDescent="0.25">
      <c r="A12">
        <v>11</v>
      </c>
      <c r="B12" s="5">
        <v>42122</v>
      </c>
      <c r="C12" t="s">
        <v>38</v>
      </c>
      <c r="D12">
        <v>49.23283</v>
      </c>
      <c r="E12">
        <v>103.38267999999999</v>
      </c>
      <c r="H12" t="s">
        <v>39</v>
      </c>
      <c r="I12" t="s">
        <v>13</v>
      </c>
      <c r="J12" t="s">
        <v>76</v>
      </c>
    </row>
    <row r="13" spans="1:10" x14ac:dyDescent="0.25">
      <c r="A13">
        <v>12</v>
      </c>
      <c r="B13" s="5">
        <v>42123</v>
      </c>
      <c r="C13" t="s">
        <v>40</v>
      </c>
      <c r="D13">
        <v>49.355629999999998</v>
      </c>
      <c r="E13">
        <v>103.11017</v>
      </c>
      <c r="H13" t="s">
        <v>41</v>
      </c>
      <c r="I13" t="s">
        <v>14</v>
      </c>
      <c r="J13" t="s">
        <v>76</v>
      </c>
    </row>
    <row r="14" spans="1:10" x14ac:dyDescent="0.25">
      <c r="A14">
        <v>13</v>
      </c>
      <c r="B14" s="5">
        <v>42124</v>
      </c>
      <c r="C14" t="s">
        <v>41</v>
      </c>
      <c r="D14">
        <v>49.435600000000001</v>
      </c>
      <c r="E14">
        <v>103.55553</v>
      </c>
      <c r="H14" t="s">
        <v>21</v>
      </c>
      <c r="I14" t="s">
        <v>14</v>
      </c>
      <c r="J14" t="s">
        <v>76</v>
      </c>
    </row>
    <row r="15" spans="1:10" x14ac:dyDescent="0.25">
      <c r="A15">
        <v>14</v>
      </c>
      <c r="B15" s="5">
        <v>42127</v>
      </c>
      <c r="C15" t="s">
        <v>42</v>
      </c>
      <c r="D15">
        <v>49.242829999999998</v>
      </c>
      <c r="E15">
        <v>103.38262</v>
      </c>
      <c r="I15" t="s">
        <v>14</v>
      </c>
      <c r="J15" t="s">
        <v>76</v>
      </c>
    </row>
    <row r="16" spans="1:10" x14ac:dyDescent="0.25">
      <c r="A16">
        <v>15</v>
      </c>
      <c r="B16" s="5">
        <v>42131</v>
      </c>
      <c r="C16" t="s">
        <v>43</v>
      </c>
      <c r="I16" t="s">
        <v>14</v>
      </c>
      <c r="J16" t="s">
        <v>76</v>
      </c>
    </row>
    <row r="17" spans="1:10" x14ac:dyDescent="0.25">
      <c r="A17">
        <v>16</v>
      </c>
      <c r="B17" s="5">
        <v>42132</v>
      </c>
      <c r="C17" t="s">
        <v>44</v>
      </c>
      <c r="D17">
        <v>49.270090000000003</v>
      </c>
      <c r="E17">
        <v>103.27269</v>
      </c>
      <c r="H17" t="s">
        <v>21</v>
      </c>
      <c r="I17" t="s">
        <v>14</v>
      </c>
      <c r="J17" t="s">
        <v>76</v>
      </c>
    </row>
    <row r="18" spans="1:10" x14ac:dyDescent="0.25">
      <c r="A18">
        <v>17</v>
      </c>
      <c r="B18" s="5">
        <v>42133</v>
      </c>
      <c r="C18" t="s">
        <v>45</v>
      </c>
      <c r="D18">
        <v>49.26567</v>
      </c>
      <c r="E18">
        <v>103.27417</v>
      </c>
      <c r="H18" t="s">
        <v>46</v>
      </c>
      <c r="I18" t="s">
        <v>14</v>
      </c>
      <c r="J18" t="s">
        <v>76</v>
      </c>
    </row>
    <row r="19" spans="1:10" x14ac:dyDescent="0.25">
      <c r="A19">
        <v>18</v>
      </c>
      <c r="B19" s="5">
        <v>42134</v>
      </c>
      <c r="C19" t="s">
        <v>47</v>
      </c>
      <c r="D19">
        <v>49.270020000000002</v>
      </c>
      <c r="E19">
        <v>103.27428</v>
      </c>
      <c r="H19" t="s">
        <v>48</v>
      </c>
      <c r="I19" t="s">
        <v>14</v>
      </c>
      <c r="J19" t="s">
        <v>76</v>
      </c>
    </row>
    <row r="20" spans="1:10" x14ac:dyDescent="0.25">
      <c r="A20">
        <v>19</v>
      </c>
      <c r="B20" t="s">
        <v>49</v>
      </c>
      <c r="C20" t="s">
        <v>50</v>
      </c>
      <c r="D20">
        <v>49.232140000000001</v>
      </c>
      <c r="E20">
        <v>103.38187000000001</v>
      </c>
      <c r="H20" t="s">
        <v>51</v>
      </c>
      <c r="I20" t="s">
        <v>13</v>
      </c>
      <c r="J20" t="s">
        <v>76</v>
      </c>
    </row>
    <row r="21" spans="1:10" x14ac:dyDescent="0.25">
      <c r="A21">
        <v>20</v>
      </c>
      <c r="B21" s="5">
        <v>42166</v>
      </c>
      <c r="C21" t="s">
        <v>96</v>
      </c>
      <c r="D21">
        <v>49.681159999999998</v>
      </c>
      <c r="E21">
        <v>102.95242</v>
      </c>
      <c r="F21">
        <v>49.621090000000002</v>
      </c>
      <c r="G21">
        <v>103.13527999999999</v>
      </c>
      <c r="H21" t="s">
        <v>71</v>
      </c>
      <c r="I21" t="s">
        <v>14</v>
      </c>
    </row>
    <row r="22" spans="1:10" x14ac:dyDescent="0.25">
      <c r="A22">
        <v>21</v>
      </c>
      <c r="B22" s="5">
        <v>42167</v>
      </c>
      <c r="C22" t="s">
        <v>41</v>
      </c>
      <c r="D22">
        <v>49.433489999999999</v>
      </c>
      <c r="E22">
        <v>103.56227</v>
      </c>
      <c r="F22">
        <v>49.38937</v>
      </c>
      <c r="G22">
        <v>103.63854000000001</v>
      </c>
      <c r="H22" t="s">
        <v>21</v>
      </c>
      <c r="I22" t="s">
        <v>66</v>
      </c>
    </row>
    <row r="23" spans="1:10" x14ac:dyDescent="0.25">
      <c r="A23">
        <v>22</v>
      </c>
      <c r="B23" s="5">
        <v>42168</v>
      </c>
      <c r="C23" t="s">
        <v>67</v>
      </c>
      <c r="D23">
        <v>49.358449999999998</v>
      </c>
      <c r="E23">
        <v>103.52479</v>
      </c>
      <c r="F23">
        <v>49.39423</v>
      </c>
      <c r="G23">
        <v>103.66379999999999</v>
      </c>
      <c r="H23" t="s">
        <v>68</v>
      </c>
      <c r="I23" t="s">
        <v>13</v>
      </c>
    </row>
    <row r="24" spans="1:10" x14ac:dyDescent="0.25">
      <c r="A24">
        <v>23</v>
      </c>
      <c r="B24" s="5">
        <v>42169</v>
      </c>
      <c r="C24" t="s">
        <v>71</v>
      </c>
      <c r="D24">
        <v>49.62135</v>
      </c>
      <c r="E24">
        <v>103.13464</v>
      </c>
      <c r="F24">
        <v>49.512680000000003</v>
      </c>
      <c r="G24">
        <v>103.31129</v>
      </c>
      <c r="H24" t="s">
        <v>72</v>
      </c>
      <c r="I24" t="s">
        <v>14</v>
      </c>
    </row>
    <row r="25" spans="1:10" x14ac:dyDescent="0.25">
      <c r="A25">
        <v>24</v>
      </c>
      <c r="B25" s="5">
        <v>42170</v>
      </c>
      <c r="C25" t="s">
        <v>72</v>
      </c>
      <c r="D25">
        <v>49.509329999999999</v>
      </c>
      <c r="E25">
        <v>103.29501</v>
      </c>
      <c r="F25">
        <v>49.434660000000001</v>
      </c>
      <c r="G25">
        <v>103.55761</v>
      </c>
      <c r="H25" t="s">
        <v>74</v>
      </c>
      <c r="I25" t="s">
        <v>14</v>
      </c>
    </row>
    <row r="26" spans="1:10" x14ac:dyDescent="0.25">
      <c r="B26" s="5">
        <v>42537</v>
      </c>
      <c r="C26" t="s">
        <v>95</v>
      </c>
      <c r="D26">
        <v>49.389130000000002</v>
      </c>
      <c r="E26">
        <v>103.64816999999999</v>
      </c>
      <c r="F26">
        <v>49.455840000000002</v>
      </c>
      <c r="G26">
        <v>103.82125000000001</v>
      </c>
      <c r="H26" t="s">
        <v>34</v>
      </c>
      <c r="I26" t="s">
        <v>13</v>
      </c>
      <c r="J26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8B41-9DB4-4525-8139-CFB5F2D8262C}">
  <dimension ref="A1:Z25"/>
  <sheetViews>
    <sheetView workbookViewId="0">
      <selection activeCell="C17" sqref="C17"/>
    </sheetView>
  </sheetViews>
  <sheetFormatPr defaultRowHeight="15" x14ac:dyDescent="0.25"/>
  <cols>
    <col min="2" max="2" width="9.7109375" bestFit="1" customWidth="1"/>
    <col min="3" max="3" width="17" customWidth="1"/>
    <col min="4" max="4" width="21.140625" customWidth="1"/>
    <col min="6" max="6" width="10" bestFit="1" customWidth="1"/>
    <col min="19" max="19" width="22" bestFit="1" customWidth="1"/>
  </cols>
  <sheetData>
    <row r="1" spans="1:26" x14ac:dyDescent="0.25">
      <c r="A1" t="s">
        <v>105</v>
      </c>
      <c r="B1" t="s">
        <v>16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</row>
    <row r="2" spans="1:26" x14ac:dyDescent="0.25">
      <c r="A2">
        <v>1</v>
      </c>
      <c r="B2" s="5">
        <v>42109</v>
      </c>
      <c r="E2">
        <v>49.363460000000003</v>
      </c>
      <c r="F2">
        <v>103.53986</v>
      </c>
      <c r="G2">
        <v>49.388159899999998</v>
      </c>
      <c r="H2">
        <v>103.6254708</v>
      </c>
    </row>
    <row r="3" spans="1:26" x14ac:dyDescent="0.25">
      <c r="A3">
        <v>2</v>
      </c>
      <c r="B3" s="5">
        <v>42113</v>
      </c>
      <c r="C3" s="16">
        <v>4921269</v>
      </c>
      <c r="D3" s="17">
        <v>10331092</v>
      </c>
      <c r="E3">
        <f>K3+(L3/60)+(M3/36000)</f>
        <v>49.357472222222221</v>
      </c>
      <c r="F3">
        <f>N3+(O3/60)+(P3/36000)</f>
        <v>103.51922222222223</v>
      </c>
      <c r="G3">
        <v>49.388159899999998</v>
      </c>
      <c r="H3">
        <v>103.6254708</v>
      </c>
      <c r="K3">
        <v>49</v>
      </c>
      <c r="L3" s="18" t="str">
        <f>MID(C3,3,2)</f>
        <v>21</v>
      </c>
      <c r="M3" s="18" t="str">
        <f>RIGHT(C3,3)</f>
        <v>269</v>
      </c>
      <c r="N3">
        <v>103</v>
      </c>
      <c r="O3" s="18" t="str">
        <f>MID(D3,4,2)</f>
        <v>31</v>
      </c>
      <c r="P3" s="18" t="str">
        <f>RIGHT(D3,3)</f>
        <v>092</v>
      </c>
    </row>
    <row r="4" spans="1:26" x14ac:dyDescent="0.25">
      <c r="A4">
        <v>3</v>
      </c>
      <c r="B4" s="5">
        <v>42115</v>
      </c>
      <c r="C4" s="16">
        <v>4926539</v>
      </c>
      <c r="D4" s="16">
        <v>10327013</v>
      </c>
      <c r="E4">
        <f>K4+(L4/60)+(M4/36000)</f>
        <v>49.44830555555555</v>
      </c>
      <c r="F4">
        <f t="shared" ref="F4:F19" si="0">N4+(O4/60)+(P4/36000)</f>
        <v>103.45036111111111</v>
      </c>
      <c r="G4">
        <f>U4+(V4/60)+(W4/36000)</f>
        <v>49.393027777777775</v>
      </c>
      <c r="H4">
        <f>X4+(Y4/60)+(Z4/36000)</f>
        <v>103.65952777777778</v>
      </c>
      <c r="K4">
        <v>49</v>
      </c>
      <c r="L4" s="18" t="str">
        <f t="shared" ref="L4:L19" si="1">MID(C4,3,2)</f>
        <v>26</v>
      </c>
      <c r="M4" s="18" t="str">
        <f t="shared" ref="M4:M19" si="2">RIGHT(C4,3)</f>
        <v>539</v>
      </c>
      <c r="N4">
        <v>103</v>
      </c>
      <c r="O4" s="18" t="str">
        <f t="shared" ref="O4:O12" si="3">MID(D4,4,2)</f>
        <v>27</v>
      </c>
      <c r="P4" s="18" t="str">
        <f t="shared" ref="P4:P19" si="4">RIGHT(D4,3)</f>
        <v>013</v>
      </c>
      <c r="S4">
        <v>4923349</v>
      </c>
      <c r="T4">
        <v>10339343</v>
      </c>
      <c r="U4">
        <v>49</v>
      </c>
      <c r="V4">
        <v>23</v>
      </c>
      <c r="W4">
        <v>349</v>
      </c>
      <c r="X4">
        <v>103</v>
      </c>
      <c r="Y4">
        <v>39</v>
      </c>
      <c r="Z4">
        <v>343</v>
      </c>
    </row>
    <row r="5" spans="1:26" x14ac:dyDescent="0.25">
      <c r="A5">
        <v>4</v>
      </c>
      <c r="B5" s="5">
        <v>42117</v>
      </c>
      <c r="C5" s="16">
        <v>4918317</v>
      </c>
      <c r="D5" s="16">
        <v>10339235</v>
      </c>
      <c r="E5">
        <f t="shared" ref="E5:E19" si="5">K5+(L5/60)+(M5/36000)</f>
        <v>49.308805555555551</v>
      </c>
      <c r="F5">
        <f t="shared" si="0"/>
        <v>103.65652777777778</v>
      </c>
      <c r="G5">
        <f t="shared" ref="G5:G8" si="6">U5+(V5/60)+(W5/36000)</f>
        <v>49.381999999999998</v>
      </c>
      <c r="H5">
        <f>X5+(Y5/60)+(Z5/36000)</f>
        <v>103.61947222222221</v>
      </c>
      <c r="K5">
        <v>49</v>
      </c>
      <c r="L5" s="18" t="str">
        <f t="shared" si="1"/>
        <v>18</v>
      </c>
      <c r="M5" s="18" t="str">
        <f t="shared" si="2"/>
        <v>317</v>
      </c>
      <c r="N5">
        <v>103</v>
      </c>
      <c r="O5" s="18" t="str">
        <f t="shared" si="3"/>
        <v>39</v>
      </c>
      <c r="P5" s="18" t="str">
        <f t="shared" si="4"/>
        <v>235</v>
      </c>
      <c r="S5">
        <v>4922552</v>
      </c>
      <c r="T5">
        <v>10337101</v>
      </c>
      <c r="U5">
        <v>49</v>
      </c>
      <c r="V5">
        <v>22</v>
      </c>
      <c r="W5">
        <v>552</v>
      </c>
      <c r="X5">
        <v>103</v>
      </c>
      <c r="Y5">
        <v>37</v>
      </c>
      <c r="Z5">
        <v>101</v>
      </c>
    </row>
    <row r="6" spans="1:26" x14ac:dyDescent="0.25">
      <c r="A6">
        <v>5</v>
      </c>
      <c r="B6" s="5">
        <v>42119</v>
      </c>
      <c r="C6" s="16">
        <v>4925224</v>
      </c>
      <c r="D6" s="16">
        <v>10338075</v>
      </c>
      <c r="E6">
        <f t="shared" si="5"/>
        <v>49.422888888888885</v>
      </c>
      <c r="F6">
        <f t="shared" si="0"/>
        <v>103.63541666666667</v>
      </c>
      <c r="K6">
        <v>49</v>
      </c>
      <c r="L6" s="18" t="str">
        <f t="shared" si="1"/>
        <v>25</v>
      </c>
      <c r="M6" s="18" t="str">
        <f t="shared" si="2"/>
        <v>224</v>
      </c>
      <c r="N6">
        <v>103</v>
      </c>
      <c r="O6" s="18" t="str">
        <f t="shared" si="3"/>
        <v>38</v>
      </c>
      <c r="P6" s="18" t="str">
        <f t="shared" si="4"/>
        <v>075</v>
      </c>
    </row>
    <row r="7" spans="1:26" x14ac:dyDescent="0.25">
      <c r="A7">
        <v>6</v>
      </c>
      <c r="B7" s="5">
        <v>42119</v>
      </c>
      <c r="C7" s="16">
        <v>4923150</v>
      </c>
      <c r="D7" s="16">
        <v>10338478</v>
      </c>
      <c r="E7">
        <f t="shared" si="5"/>
        <v>49.387500000000003</v>
      </c>
      <c r="F7">
        <f t="shared" si="0"/>
        <v>103.64661111111111</v>
      </c>
      <c r="G7">
        <v>49.388159899999998</v>
      </c>
      <c r="H7">
        <v>103.6254708</v>
      </c>
      <c r="K7">
        <v>49</v>
      </c>
      <c r="L7" s="18" t="str">
        <f t="shared" si="1"/>
        <v>23</v>
      </c>
      <c r="M7" s="18" t="str">
        <f t="shared" si="2"/>
        <v>150</v>
      </c>
      <c r="N7">
        <v>103</v>
      </c>
      <c r="O7" s="18" t="str">
        <f t="shared" si="3"/>
        <v>38</v>
      </c>
      <c r="P7" s="18" t="str">
        <f t="shared" si="4"/>
        <v>478</v>
      </c>
    </row>
    <row r="8" spans="1:26" x14ac:dyDescent="0.25">
      <c r="A8">
        <v>7</v>
      </c>
      <c r="B8" s="5">
        <v>42120</v>
      </c>
      <c r="C8" s="16">
        <v>4923193</v>
      </c>
      <c r="D8" s="16">
        <v>10338498</v>
      </c>
      <c r="E8">
        <f t="shared" si="5"/>
        <v>49.388694444444447</v>
      </c>
      <c r="F8">
        <f t="shared" si="0"/>
        <v>103.64716666666668</v>
      </c>
      <c r="G8">
        <f t="shared" si="6"/>
        <v>49.429583333333333</v>
      </c>
      <c r="H8">
        <f>X8+(Y8/60)+(Z8/36000)</f>
        <v>103.74316666666667</v>
      </c>
      <c r="K8">
        <v>49</v>
      </c>
      <c r="L8" s="18" t="str">
        <f t="shared" si="1"/>
        <v>23</v>
      </c>
      <c r="M8" s="18" t="str">
        <f t="shared" si="2"/>
        <v>193</v>
      </c>
      <c r="N8">
        <v>103</v>
      </c>
      <c r="O8" s="18" t="str">
        <f t="shared" si="3"/>
        <v>38</v>
      </c>
      <c r="P8" s="18" t="str">
        <f t="shared" si="4"/>
        <v>498</v>
      </c>
      <c r="S8">
        <v>4925465</v>
      </c>
      <c r="T8">
        <v>10344354</v>
      </c>
      <c r="U8">
        <v>49</v>
      </c>
      <c r="V8">
        <v>25</v>
      </c>
      <c r="W8">
        <v>465</v>
      </c>
      <c r="X8">
        <v>103</v>
      </c>
      <c r="Y8">
        <v>44</v>
      </c>
      <c r="Z8">
        <v>354</v>
      </c>
    </row>
    <row r="9" spans="1:26" x14ac:dyDescent="0.25">
      <c r="A9">
        <v>8</v>
      </c>
      <c r="B9" s="5">
        <v>42121</v>
      </c>
      <c r="C9" s="16">
        <v>4923185</v>
      </c>
      <c r="D9" s="16">
        <v>10338479</v>
      </c>
      <c r="E9">
        <f t="shared" si="5"/>
        <v>49.388472222222219</v>
      </c>
      <c r="F9">
        <f t="shared" si="0"/>
        <v>103.6466388888889</v>
      </c>
      <c r="G9">
        <v>49.455840000000002</v>
      </c>
      <c r="H9">
        <v>103.82125000000001</v>
      </c>
      <c r="K9">
        <v>49</v>
      </c>
      <c r="L9" s="18" t="str">
        <f t="shared" si="1"/>
        <v>23</v>
      </c>
      <c r="M9" s="18" t="str">
        <f t="shared" si="2"/>
        <v>185</v>
      </c>
      <c r="N9">
        <v>103</v>
      </c>
      <c r="O9" s="18" t="str">
        <f t="shared" si="3"/>
        <v>38</v>
      </c>
      <c r="P9" s="18" t="str">
        <f t="shared" si="4"/>
        <v>479</v>
      </c>
    </row>
    <row r="10" spans="1:26" x14ac:dyDescent="0.25">
      <c r="A10">
        <v>9</v>
      </c>
      <c r="B10" s="5">
        <v>42121</v>
      </c>
      <c r="C10" s="16">
        <v>4920480</v>
      </c>
      <c r="D10" s="17">
        <v>10327523</v>
      </c>
      <c r="E10">
        <f t="shared" si="5"/>
        <v>49.346666666666671</v>
      </c>
      <c r="F10">
        <f t="shared" si="0"/>
        <v>103.46452777777777</v>
      </c>
      <c r="G10">
        <v>49.388159899999998</v>
      </c>
      <c r="H10">
        <v>103.6254708</v>
      </c>
      <c r="K10">
        <v>49</v>
      </c>
      <c r="L10" s="18" t="str">
        <f t="shared" si="1"/>
        <v>20</v>
      </c>
      <c r="M10" s="18" t="str">
        <f t="shared" si="2"/>
        <v>480</v>
      </c>
      <c r="N10">
        <v>103</v>
      </c>
      <c r="O10" s="18" t="str">
        <f t="shared" si="3"/>
        <v>27</v>
      </c>
      <c r="P10" s="18" t="str">
        <f t="shared" si="4"/>
        <v>523</v>
      </c>
    </row>
    <row r="11" spans="1:26" x14ac:dyDescent="0.25">
      <c r="A11">
        <v>10</v>
      </c>
      <c r="B11" s="5">
        <v>42121</v>
      </c>
      <c r="C11" s="16">
        <v>4924329</v>
      </c>
      <c r="D11" s="16">
        <v>10338299</v>
      </c>
      <c r="E11">
        <f t="shared" si="5"/>
        <v>49.40913888888889</v>
      </c>
      <c r="F11">
        <f t="shared" si="0"/>
        <v>103.64163888888889</v>
      </c>
      <c r="G11">
        <v>49.388159899999998</v>
      </c>
      <c r="H11">
        <v>103.6254708</v>
      </c>
      <c r="K11">
        <v>49</v>
      </c>
      <c r="L11" s="18" t="str">
        <f t="shared" si="1"/>
        <v>24</v>
      </c>
      <c r="M11" s="18" t="str">
        <f t="shared" si="2"/>
        <v>329</v>
      </c>
      <c r="N11">
        <v>103</v>
      </c>
      <c r="O11" s="18" t="str">
        <f t="shared" si="3"/>
        <v>38</v>
      </c>
      <c r="P11" s="18" t="str">
        <f t="shared" si="4"/>
        <v>299</v>
      </c>
    </row>
    <row r="12" spans="1:26" x14ac:dyDescent="0.25">
      <c r="A12">
        <v>11</v>
      </c>
      <c r="B12" s="5">
        <v>42122</v>
      </c>
      <c r="C12" s="16">
        <v>4923283</v>
      </c>
      <c r="D12" s="17">
        <v>10338268</v>
      </c>
      <c r="E12">
        <f t="shared" si="5"/>
        <v>49.391194444444444</v>
      </c>
      <c r="F12">
        <f t="shared" si="0"/>
        <v>103.64077777777779</v>
      </c>
      <c r="G12">
        <f t="shared" ref="G12" si="7">U12+(V12/60)+(W12/36000)</f>
        <v>49.429749999999999</v>
      </c>
      <c r="H12">
        <f>X12+(Y12/60)+(Z12/36000)</f>
        <v>103.73177777777778</v>
      </c>
      <c r="K12">
        <v>49</v>
      </c>
      <c r="L12" s="18" t="str">
        <f t="shared" si="1"/>
        <v>23</v>
      </c>
      <c r="M12" s="18" t="str">
        <f t="shared" si="2"/>
        <v>283</v>
      </c>
      <c r="N12">
        <v>103</v>
      </c>
      <c r="O12" s="18" t="str">
        <f t="shared" si="3"/>
        <v>38</v>
      </c>
      <c r="P12" s="18" t="str">
        <f t="shared" si="4"/>
        <v>268</v>
      </c>
      <c r="S12">
        <v>4925471</v>
      </c>
      <c r="T12">
        <v>10343544</v>
      </c>
      <c r="U12">
        <v>49</v>
      </c>
      <c r="V12">
        <v>25</v>
      </c>
      <c r="W12">
        <v>471</v>
      </c>
      <c r="X12">
        <v>103</v>
      </c>
      <c r="Y12">
        <v>43</v>
      </c>
      <c r="Z12">
        <v>544</v>
      </c>
    </row>
    <row r="13" spans="1:26" x14ac:dyDescent="0.25">
      <c r="A13">
        <v>12</v>
      </c>
      <c r="B13" s="5">
        <v>42123</v>
      </c>
      <c r="C13" s="16">
        <v>4935563</v>
      </c>
      <c r="D13" s="16">
        <v>10311017</v>
      </c>
      <c r="E13">
        <f t="shared" si="5"/>
        <v>49.598972222222223</v>
      </c>
      <c r="F13">
        <f t="shared" si="0"/>
        <v>103.18380555555557</v>
      </c>
      <c r="G13">
        <v>49.433489999999999</v>
      </c>
      <c r="H13">
        <v>103.56227</v>
      </c>
      <c r="K13">
        <v>49</v>
      </c>
      <c r="L13" s="18" t="str">
        <f t="shared" si="1"/>
        <v>35</v>
      </c>
      <c r="M13" s="18" t="str">
        <f t="shared" si="2"/>
        <v>563</v>
      </c>
      <c r="N13">
        <v>103</v>
      </c>
      <c r="O13" s="18" t="str">
        <f>MID(D13,4,2)</f>
        <v>11</v>
      </c>
      <c r="P13" s="18" t="str">
        <f t="shared" si="4"/>
        <v>017</v>
      </c>
    </row>
    <row r="14" spans="1:26" x14ac:dyDescent="0.25">
      <c r="A14">
        <v>13</v>
      </c>
      <c r="B14" s="5">
        <v>42124</v>
      </c>
      <c r="C14" s="16"/>
      <c r="E14">
        <v>49.433489999999999</v>
      </c>
      <c r="F14">
        <v>103.56227</v>
      </c>
      <c r="G14">
        <v>49.388159899999998</v>
      </c>
      <c r="H14">
        <v>103.6254708</v>
      </c>
      <c r="O14" s="18"/>
      <c r="P14" s="18"/>
    </row>
    <row r="15" spans="1:26" x14ac:dyDescent="0.25">
      <c r="A15">
        <v>14</v>
      </c>
      <c r="B15" s="5">
        <v>42127</v>
      </c>
      <c r="C15" s="16">
        <v>4924283</v>
      </c>
      <c r="D15" s="16">
        <v>10338262</v>
      </c>
      <c r="E15">
        <f t="shared" si="5"/>
        <v>49.40786111111111</v>
      </c>
      <c r="F15">
        <f t="shared" si="0"/>
        <v>103.64061111111111</v>
      </c>
      <c r="K15">
        <v>49</v>
      </c>
      <c r="L15" s="18" t="str">
        <f t="shared" si="1"/>
        <v>24</v>
      </c>
      <c r="M15" s="18" t="str">
        <f t="shared" si="2"/>
        <v>283</v>
      </c>
      <c r="N15">
        <v>103</v>
      </c>
      <c r="O15" s="18" t="str">
        <f>MID(D15,4,2)</f>
        <v>38</v>
      </c>
      <c r="P15" s="18" t="str">
        <f t="shared" si="4"/>
        <v>262</v>
      </c>
    </row>
    <row r="16" spans="1:26" x14ac:dyDescent="0.25">
      <c r="A16">
        <v>16</v>
      </c>
      <c r="B16" s="5">
        <v>42132</v>
      </c>
      <c r="C16" s="16">
        <v>4927009</v>
      </c>
      <c r="D16" s="16">
        <v>10327269</v>
      </c>
      <c r="E16">
        <f t="shared" si="5"/>
        <v>49.450250000000004</v>
      </c>
      <c r="F16">
        <f t="shared" si="0"/>
        <v>103.45747222222222</v>
      </c>
      <c r="G16">
        <v>49.388159899999998</v>
      </c>
      <c r="H16">
        <v>103.6254708</v>
      </c>
      <c r="K16">
        <v>49</v>
      </c>
      <c r="L16" s="18" t="str">
        <f t="shared" si="1"/>
        <v>27</v>
      </c>
      <c r="M16" s="18" t="str">
        <f t="shared" si="2"/>
        <v>009</v>
      </c>
      <c r="N16">
        <v>103</v>
      </c>
      <c r="O16" s="18" t="str">
        <f t="shared" ref="O16:O19" si="8">MID(D16,4,2)</f>
        <v>27</v>
      </c>
      <c r="P16" s="18" t="str">
        <f t="shared" si="4"/>
        <v>269</v>
      </c>
    </row>
    <row r="17" spans="1:26" x14ac:dyDescent="0.25">
      <c r="A17">
        <v>17</v>
      </c>
      <c r="B17" s="5">
        <v>42133</v>
      </c>
      <c r="C17" s="16">
        <v>4926567</v>
      </c>
      <c r="D17" s="16">
        <v>10327417</v>
      </c>
      <c r="E17">
        <f t="shared" si="5"/>
        <v>49.449083333333327</v>
      </c>
      <c r="F17">
        <f t="shared" si="0"/>
        <v>103.46158333333334</v>
      </c>
      <c r="G17">
        <f t="shared" ref="G17:G19" si="9">U17+(V17/60)+(W17/36000)</f>
        <v>49.39</v>
      </c>
      <c r="H17">
        <f>X17+(Y17/60)+(Z17/36000)</f>
        <v>103.62163888888888</v>
      </c>
      <c r="K17">
        <v>49</v>
      </c>
      <c r="L17" s="18" t="str">
        <f t="shared" si="1"/>
        <v>26</v>
      </c>
      <c r="M17" s="18" t="str">
        <f t="shared" si="2"/>
        <v>567</v>
      </c>
      <c r="N17">
        <v>103</v>
      </c>
      <c r="O17" s="18" t="str">
        <f t="shared" si="8"/>
        <v>27</v>
      </c>
      <c r="P17" s="18" t="str">
        <f t="shared" si="4"/>
        <v>417</v>
      </c>
      <c r="S17">
        <v>4923240</v>
      </c>
      <c r="T17">
        <v>10337179</v>
      </c>
      <c r="U17">
        <v>49</v>
      </c>
      <c r="V17">
        <v>23</v>
      </c>
      <c r="W17">
        <v>240</v>
      </c>
      <c r="X17">
        <v>103</v>
      </c>
      <c r="Y17">
        <v>37</v>
      </c>
      <c r="Z17">
        <v>179</v>
      </c>
    </row>
    <row r="18" spans="1:26" x14ac:dyDescent="0.25">
      <c r="A18">
        <v>18</v>
      </c>
      <c r="B18" s="5">
        <v>42134</v>
      </c>
      <c r="C18" s="16">
        <v>4927002</v>
      </c>
      <c r="D18" s="16">
        <v>10327428</v>
      </c>
      <c r="E18">
        <f t="shared" si="5"/>
        <v>49.450055555555558</v>
      </c>
      <c r="F18">
        <f t="shared" si="0"/>
        <v>103.46188888888889</v>
      </c>
      <c r="G18">
        <f t="shared" si="9"/>
        <v>49.404249999999998</v>
      </c>
      <c r="H18">
        <f t="shared" ref="H18:H19" si="10">X18+(Y18/60)+(Z18/36000)</f>
        <v>103.63647222222222</v>
      </c>
      <c r="K18">
        <v>49</v>
      </c>
      <c r="L18" s="18" t="str">
        <f t="shared" si="1"/>
        <v>27</v>
      </c>
      <c r="M18" s="18" t="str">
        <f t="shared" si="2"/>
        <v>002</v>
      </c>
      <c r="N18">
        <v>103</v>
      </c>
      <c r="O18" s="18" t="str">
        <f t="shared" si="8"/>
        <v>27</v>
      </c>
      <c r="P18" s="18" t="str">
        <f t="shared" si="4"/>
        <v>428</v>
      </c>
      <c r="S18">
        <v>4924153</v>
      </c>
      <c r="T18">
        <v>10338113</v>
      </c>
      <c r="U18">
        <v>49</v>
      </c>
      <c r="V18">
        <v>24</v>
      </c>
      <c r="W18">
        <v>153</v>
      </c>
      <c r="X18">
        <v>103</v>
      </c>
      <c r="Y18">
        <v>38</v>
      </c>
      <c r="Z18">
        <v>113</v>
      </c>
    </row>
    <row r="19" spans="1:26" x14ac:dyDescent="0.25">
      <c r="A19">
        <v>19</v>
      </c>
      <c r="B19" s="5">
        <v>42135</v>
      </c>
      <c r="C19" s="16">
        <v>4923214</v>
      </c>
      <c r="D19" s="16">
        <v>10338187</v>
      </c>
      <c r="E19">
        <f t="shared" si="5"/>
        <v>49.389277777777778</v>
      </c>
      <c r="F19">
        <f t="shared" si="0"/>
        <v>103.63852777777778</v>
      </c>
      <c r="G19">
        <f t="shared" si="9"/>
        <v>49.455750000000002</v>
      </c>
      <c r="H19">
        <f t="shared" si="10"/>
        <v>103.82016666666667</v>
      </c>
      <c r="K19">
        <v>49</v>
      </c>
      <c r="L19" s="18" t="str">
        <f t="shared" si="1"/>
        <v>23</v>
      </c>
      <c r="M19" s="18" t="str">
        <f t="shared" si="2"/>
        <v>214</v>
      </c>
      <c r="N19">
        <v>103</v>
      </c>
      <c r="O19" s="18" t="str">
        <f t="shared" si="8"/>
        <v>38</v>
      </c>
      <c r="P19" s="18" t="str">
        <f t="shared" si="4"/>
        <v>187</v>
      </c>
      <c r="S19">
        <v>4927207</v>
      </c>
      <c r="T19">
        <v>10349126</v>
      </c>
      <c r="U19">
        <v>49</v>
      </c>
      <c r="V19">
        <v>27</v>
      </c>
      <c r="W19">
        <v>207</v>
      </c>
      <c r="X19">
        <v>103</v>
      </c>
      <c r="Y19">
        <v>49</v>
      </c>
      <c r="Z19">
        <v>126</v>
      </c>
    </row>
    <row r="20" spans="1:26" x14ac:dyDescent="0.25">
      <c r="A20">
        <v>20</v>
      </c>
      <c r="B20" s="5">
        <v>42166</v>
      </c>
      <c r="E20">
        <v>49.681159999999998</v>
      </c>
      <c r="F20">
        <v>102.95242</v>
      </c>
      <c r="G20">
        <v>49.621090000000002</v>
      </c>
      <c r="H20">
        <v>103.13527999999999</v>
      </c>
    </row>
    <row r="21" spans="1:26" x14ac:dyDescent="0.25">
      <c r="A21">
        <v>21</v>
      </c>
      <c r="B21" s="5">
        <v>42167</v>
      </c>
      <c r="E21">
        <v>49.433489999999999</v>
      </c>
      <c r="F21">
        <v>103.56227</v>
      </c>
      <c r="G21">
        <v>49.38937</v>
      </c>
      <c r="H21">
        <v>103.63854000000001</v>
      </c>
    </row>
    <row r="22" spans="1:26" x14ac:dyDescent="0.25">
      <c r="A22">
        <v>22</v>
      </c>
      <c r="B22" s="5">
        <v>42168</v>
      </c>
      <c r="E22">
        <v>49.358449999999998</v>
      </c>
      <c r="F22">
        <v>103.52479</v>
      </c>
      <c r="G22">
        <v>49.39423</v>
      </c>
      <c r="H22">
        <v>103.66379999999999</v>
      </c>
    </row>
    <row r="23" spans="1:26" x14ac:dyDescent="0.25">
      <c r="A23">
        <v>23</v>
      </c>
      <c r="B23" s="5">
        <v>42169</v>
      </c>
      <c r="E23">
        <v>49.62135</v>
      </c>
      <c r="F23">
        <v>103.13464</v>
      </c>
      <c r="G23">
        <v>49.512680000000003</v>
      </c>
      <c r="H23">
        <v>103.31129</v>
      </c>
    </row>
    <row r="24" spans="1:26" x14ac:dyDescent="0.25">
      <c r="A24">
        <v>24</v>
      </c>
      <c r="B24" s="5">
        <v>42170</v>
      </c>
      <c r="E24">
        <v>49.509329999999999</v>
      </c>
      <c r="F24">
        <v>103.29501</v>
      </c>
      <c r="G24">
        <v>49.434660000000001</v>
      </c>
      <c r="H24">
        <v>103.55761</v>
      </c>
    </row>
    <row r="25" spans="1:26" x14ac:dyDescent="0.25">
      <c r="A25">
        <v>25</v>
      </c>
      <c r="B25" s="5">
        <v>42537</v>
      </c>
      <c r="E25">
        <v>49.389130000000002</v>
      </c>
      <c r="F25">
        <v>103.64816999999999</v>
      </c>
      <c r="G25">
        <v>49.455840000000002</v>
      </c>
      <c r="H25">
        <v>103.82125000000001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9"/>
  <sheetViews>
    <sheetView topLeftCell="A46" workbookViewId="0">
      <selection activeCell="H71" sqref="H71:I71"/>
    </sheetView>
  </sheetViews>
  <sheetFormatPr defaultRowHeight="15" x14ac:dyDescent="0.25"/>
  <cols>
    <col min="2" max="2" width="4" bestFit="1" customWidth="1"/>
    <col min="3" max="3" width="21.85546875" bestFit="1" customWidth="1"/>
    <col min="4" max="4" width="10.140625" bestFit="1" customWidth="1"/>
    <col min="5" max="5" width="9" bestFit="1" customWidth="1"/>
    <col min="9" max="9" width="11.5703125" customWidth="1"/>
    <col min="10" max="10" width="9.7109375" bestFit="1" customWidth="1"/>
    <col min="11" max="11" width="35.7109375" bestFit="1" customWidth="1"/>
    <col min="12" max="12" width="11.42578125" bestFit="1" customWidth="1"/>
    <col min="13" max="13" width="11.85546875" bestFit="1" customWidth="1"/>
  </cols>
  <sheetData>
    <row r="1" spans="1:13" x14ac:dyDescent="0.25">
      <c r="A1" t="s">
        <v>85</v>
      </c>
      <c r="B1" t="s">
        <v>3</v>
      </c>
      <c r="C1" t="s">
        <v>86</v>
      </c>
      <c r="D1" t="s">
        <v>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2</v>
      </c>
      <c r="K1" t="s">
        <v>92</v>
      </c>
      <c r="L1" t="s">
        <v>77</v>
      </c>
      <c r="M1" t="s">
        <v>93</v>
      </c>
    </row>
    <row r="2" spans="1:13" x14ac:dyDescent="0.25">
      <c r="A2">
        <v>1</v>
      </c>
      <c r="B2">
        <v>153</v>
      </c>
      <c r="C2" t="s">
        <v>13</v>
      </c>
      <c r="D2" t="s">
        <v>7</v>
      </c>
      <c r="E2">
        <v>49.363880000000002</v>
      </c>
      <c r="F2">
        <v>21</v>
      </c>
      <c r="G2">
        <v>500</v>
      </c>
      <c r="H2">
        <f>49+(F2/60)+(G2/36000)</f>
        <v>49.363888888888887</v>
      </c>
      <c r="I2">
        <v>103.56259</v>
      </c>
      <c r="J2" s="5">
        <v>42109</v>
      </c>
      <c r="K2" t="s">
        <v>76</v>
      </c>
    </row>
    <row r="3" spans="1:13" x14ac:dyDescent="0.25">
      <c r="A3">
        <v>2</v>
      </c>
      <c r="B3">
        <v>207</v>
      </c>
      <c r="C3" t="s">
        <v>13</v>
      </c>
      <c r="D3" t="s">
        <v>8</v>
      </c>
      <c r="E3">
        <v>49.387590000000003</v>
      </c>
      <c r="F3">
        <v>23</v>
      </c>
      <c r="G3">
        <v>153</v>
      </c>
      <c r="H3">
        <f t="shared" ref="H3:H66" si="0">49+(F3/60)+(G3/36000)</f>
        <v>49.387583333333332</v>
      </c>
      <c r="I3">
        <v>103.64319</v>
      </c>
      <c r="J3" s="5">
        <v>42111</v>
      </c>
      <c r="K3" t="s">
        <v>76</v>
      </c>
      <c r="L3" t="s">
        <v>54</v>
      </c>
      <c r="M3">
        <v>417</v>
      </c>
    </row>
    <row r="4" spans="1:13" x14ac:dyDescent="0.25">
      <c r="A4">
        <v>3</v>
      </c>
      <c r="B4">
        <v>206</v>
      </c>
      <c r="C4" t="s">
        <v>13</v>
      </c>
      <c r="D4" t="s">
        <v>8</v>
      </c>
      <c r="E4">
        <v>49.38738</v>
      </c>
      <c r="F4">
        <v>23</v>
      </c>
      <c r="G4">
        <v>153</v>
      </c>
      <c r="H4">
        <f t="shared" si="0"/>
        <v>49.387583333333332</v>
      </c>
      <c r="I4">
        <v>103.64314</v>
      </c>
      <c r="J4" s="5">
        <v>42112</v>
      </c>
      <c r="K4" t="s">
        <v>76</v>
      </c>
      <c r="L4" t="s">
        <v>54</v>
      </c>
      <c r="M4">
        <v>440</v>
      </c>
    </row>
    <row r="5" spans="1:13" x14ac:dyDescent="0.25">
      <c r="A5">
        <v>4</v>
      </c>
      <c r="B5">
        <v>207</v>
      </c>
      <c r="C5" t="s">
        <v>13</v>
      </c>
      <c r="D5" t="s">
        <v>8</v>
      </c>
      <c r="E5">
        <v>49.387340000000002</v>
      </c>
      <c r="F5">
        <v>23</v>
      </c>
      <c r="G5">
        <v>144</v>
      </c>
      <c r="H5">
        <f t="shared" si="0"/>
        <v>49.387333333333331</v>
      </c>
      <c r="I5">
        <v>103.64257000000001</v>
      </c>
      <c r="J5" s="5">
        <v>42112</v>
      </c>
      <c r="K5" t="s">
        <v>76</v>
      </c>
    </row>
    <row r="6" spans="1:13" x14ac:dyDescent="0.25">
      <c r="A6">
        <v>5</v>
      </c>
      <c r="B6">
        <v>206</v>
      </c>
      <c r="C6" t="s">
        <v>13</v>
      </c>
      <c r="D6" t="s">
        <v>8</v>
      </c>
      <c r="E6">
        <v>49.38738</v>
      </c>
      <c r="F6">
        <v>23</v>
      </c>
      <c r="G6">
        <v>146</v>
      </c>
      <c r="H6">
        <f t="shared" si="0"/>
        <v>49.387388888888886</v>
      </c>
      <c r="I6">
        <v>103.64314</v>
      </c>
      <c r="J6" s="5">
        <v>42112</v>
      </c>
      <c r="K6" t="s">
        <v>76</v>
      </c>
      <c r="L6" t="s">
        <v>94</v>
      </c>
    </row>
    <row r="7" spans="1:13" x14ac:dyDescent="0.25">
      <c r="A7">
        <v>6</v>
      </c>
      <c r="B7">
        <v>204</v>
      </c>
      <c r="C7" t="s">
        <v>13</v>
      </c>
      <c r="D7" t="s">
        <v>8</v>
      </c>
      <c r="E7">
        <v>49.387560000000001</v>
      </c>
      <c r="F7">
        <v>23</v>
      </c>
      <c r="G7">
        <v>152</v>
      </c>
      <c r="H7">
        <f t="shared" si="0"/>
        <v>49.387555555555558</v>
      </c>
      <c r="I7">
        <v>103.64317</v>
      </c>
      <c r="J7" s="5">
        <v>42113</v>
      </c>
      <c r="K7" t="s">
        <v>76</v>
      </c>
      <c r="L7" t="s">
        <v>54</v>
      </c>
    </row>
    <row r="8" spans="1:13" x14ac:dyDescent="0.25">
      <c r="A8">
        <v>7</v>
      </c>
      <c r="B8">
        <v>153</v>
      </c>
      <c r="C8" t="s">
        <v>13</v>
      </c>
      <c r="D8" t="s">
        <v>7</v>
      </c>
      <c r="E8">
        <v>49.391469999999998</v>
      </c>
      <c r="F8">
        <v>23</v>
      </c>
      <c r="G8">
        <v>293</v>
      </c>
      <c r="H8">
        <f t="shared" si="0"/>
        <v>49.39147222222222</v>
      </c>
      <c r="I8">
        <v>103.62079</v>
      </c>
      <c r="J8" s="5">
        <v>42114</v>
      </c>
      <c r="K8" t="s">
        <v>76</v>
      </c>
    </row>
    <row r="9" spans="1:13" x14ac:dyDescent="0.25">
      <c r="A9">
        <v>8</v>
      </c>
      <c r="B9">
        <v>204</v>
      </c>
      <c r="C9" t="s">
        <v>13</v>
      </c>
      <c r="D9" t="s">
        <v>8</v>
      </c>
      <c r="E9">
        <v>49.387309999999999</v>
      </c>
      <c r="F9">
        <v>23</v>
      </c>
      <c r="G9">
        <v>103</v>
      </c>
      <c r="H9">
        <f t="shared" si="0"/>
        <v>49.386194444444442</v>
      </c>
      <c r="I9">
        <v>103.64239000000001</v>
      </c>
      <c r="J9" s="5">
        <v>42114</v>
      </c>
      <c r="K9" t="s">
        <v>76</v>
      </c>
    </row>
    <row r="10" spans="1:13" x14ac:dyDescent="0.25">
      <c r="A10">
        <v>9</v>
      </c>
      <c r="B10">
        <v>154</v>
      </c>
      <c r="C10" t="s">
        <v>14</v>
      </c>
      <c r="E10">
        <v>49.445689999999999</v>
      </c>
      <c r="F10">
        <v>26</v>
      </c>
      <c r="G10">
        <v>445</v>
      </c>
      <c r="H10">
        <f t="shared" si="0"/>
        <v>49.445694444444442</v>
      </c>
      <c r="I10">
        <v>103.4718</v>
      </c>
      <c r="J10" s="5">
        <v>42115</v>
      </c>
      <c r="K10" t="s">
        <v>76</v>
      </c>
    </row>
    <row r="11" spans="1:13" x14ac:dyDescent="0.25">
      <c r="A11">
        <v>10</v>
      </c>
      <c r="B11">
        <v>157</v>
      </c>
      <c r="C11" t="s">
        <v>14</v>
      </c>
      <c r="E11">
        <v>49.442419999999998</v>
      </c>
      <c r="F11">
        <v>26</v>
      </c>
      <c r="G11">
        <v>327</v>
      </c>
      <c r="H11">
        <f t="shared" si="0"/>
        <v>49.442416666666666</v>
      </c>
      <c r="I11">
        <v>103.48836</v>
      </c>
      <c r="J11" s="5">
        <v>42115</v>
      </c>
      <c r="K11" t="s">
        <v>76</v>
      </c>
    </row>
    <row r="12" spans="1:13" x14ac:dyDescent="0.25">
      <c r="A12">
        <v>11</v>
      </c>
      <c r="B12">
        <v>151</v>
      </c>
      <c r="C12" t="s">
        <v>14</v>
      </c>
      <c r="E12">
        <v>49.431690000000003</v>
      </c>
      <c r="F12">
        <v>25</v>
      </c>
      <c r="G12">
        <v>541</v>
      </c>
      <c r="H12">
        <f t="shared" si="0"/>
        <v>49.431694444444439</v>
      </c>
      <c r="I12">
        <v>103.50288</v>
      </c>
      <c r="J12" s="5">
        <v>42115</v>
      </c>
      <c r="K12" t="s">
        <v>76</v>
      </c>
    </row>
    <row r="13" spans="1:13" x14ac:dyDescent="0.25">
      <c r="A13">
        <v>12</v>
      </c>
      <c r="B13">
        <v>155</v>
      </c>
      <c r="C13" t="s">
        <v>14</v>
      </c>
      <c r="E13">
        <v>49.427289999999999</v>
      </c>
      <c r="F13">
        <v>25</v>
      </c>
      <c r="G13">
        <v>383</v>
      </c>
      <c r="H13">
        <f t="shared" si="0"/>
        <v>49.427305555555556</v>
      </c>
      <c r="I13">
        <v>103.51057</v>
      </c>
      <c r="J13" s="5">
        <v>42115</v>
      </c>
      <c r="K13" t="s">
        <v>76</v>
      </c>
    </row>
    <row r="14" spans="1:13" x14ac:dyDescent="0.25">
      <c r="A14">
        <v>13</v>
      </c>
      <c r="B14">
        <v>156</v>
      </c>
      <c r="C14" t="s">
        <v>14</v>
      </c>
      <c r="E14">
        <v>49.432639999999999</v>
      </c>
      <c r="F14">
        <v>25</v>
      </c>
      <c r="G14">
        <v>575</v>
      </c>
      <c r="H14">
        <f t="shared" si="0"/>
        <v>49.432638888888889</v>
      </c>
      <c r="I14">
        <v>103.54591000000001</v>
      </c>
      <c r="J14" s="5">
        <v>42115</v>
      </c>
      <c r="K14" t="s">
        <v>76</v>
      </c>
    </row>
    <row r="15" spans="1:13" x14ac:dyDescent="0.25">
      <c r="A15">
        <v>14</v>
      </c>
      <c r="B15">
        <v>124</v>
      </c>
      <c r="C15" t="s">
        <v>14</v>
      </c>
      <c r="D15" t="s">
        <v>9</v>
      </c>
      <c r="E15">
        <v>49.4283</v>
      </c>
      <c r="F15">
        <v>25</v>
      </c>
      <c r="G15">
        <v>419</v>
      </c>
      <c r="H15">
        <f t="shared" si="0"/>
        <v>49.428305555555553</v>
      </c>
      <c r="I15">
        <v>103.57183000000001</v>
      </c>
      <c r="J15" s="5">
        <v>42115</v>
      </c>
      <c r="K15" t="s">
        <v>76</v>
      </c>
    </row>
    <row r="16" spans="1:13" x14ac:dyDescent="0.25">
      <c r="A16">
        <v>15</v>
      </c>
      <c r="B16">
        <v>131</v>
      </c>
      <c r="C16" t="s">
        <v>14</v>
      </c>
      <c r="E16">
        <v>49.435490000000001</v>
      </c>
      <c r="F16">
        <v>26</v>
      </c>
      <c r="G16">
        <v>78</v>
      </c>
      <c r="H16">
        <f t="shared" si="0"/>
        <v>49.435499999999998</v>
      </c>
      <c r="I16">
        <v>103.59433</v>
      </c>
      <c r="J16" s="5">
        <v>42115</v>
      </c>
      <c r="K16" t="s">
        <v>76</v>
      </c>
    </row>
    <row r="17" spans="1:13" x14ac:dyDescent="0.25">
      <c r="A17">
        <v>16</v>
      </c>
      <c r="B17">
        <v>102</v>
      </c>
      <c r="C17" t="s">
        <v>14</v>
      </c>
      <c r="E17">
        <v>49.404940000000003</v>
      </c>
      <c r="F17">
        <v>24</v>
      </c>
      <c r="G17">
        <v>178</v>
      </c>
      <c r="H17">
        <f t="shared" si="0"/>
        <v>49.404944444444446</v>
      </c>
      <c r="I17">
        <v>103.63777</v>
      </c>
      <c r="J17" s="5">
        <v>42115</v>
      </c>
      <c r="K17" t="s">
        <v>76</v>
      </c>
    </row>
    <row r="18" spans="1:13" x14ac:dyDescent="0.25">
      <c r="A18">
        <v>17</v>
      </c>
      <c r="B18">
        <v>159</v>
      </c>
      <c r="C18" t="s">
        <v>14</v>
      </c>
      <c r="E18">
        <v>49.403019999999998</v>
      </c>
      <c r="F18">
        <v>24</v>
      </c>
      <c r="G18">
        <v>104</v>
      </c>
      <c r="H18">
        <f t="shared" si="0"/>
        <v>49.402888888888889</v>
      </c>
      <c r="I18">
        <v>103.634</v>
      </c>
      <c r="J18" s="5">
        <v>42115</v>
      </c>
      <c r="K18" t="s">
        <v>76</v>
      </c>
    </row>
    <row r="19" spans="1:13" x14ac:dyDescent="0.25">
      <c r="A19">
        <v>18</v>
      </c>
      <c r="B19">
        <v>153</v>
      </c>
      <c r="C19" t="s">
        <v>14</v>
      </c>
      <c r="D19" t="s">
        <v>7</v>
      </c>
      <c r="E19">
        <v>49.392139999999998</v>
      </c>
      <c r="F19">
        <v>23</v>
      </c>
      <c r="G19">
        <v>317</v>
      </c>
      <c r="H19">
        <f t="shared" si="0"/>
        <v>49.392138888888887</v>
      </c>
      <c r="I19">
        <v>103.61935</v>
      </c>
      <c r="J19" s="5">
        <v>42115</v>
      </c>
      <c r="K19" t="s">
        <v>76</v>
      </c>
    </row>
    <row r="20" spans="1:13" x14ac:dyDescent="0.25">
      <c r="A20">
        <v>19</v>
      </c>
      <c r="B20">
        <v>204</v>
      </c>
      <c r="C20" t="s">
        <v>14</v>
      </c>
      <c r="D20" t="s">
        <v>8</v>
      </c>
      <c r="E20">
        <v>49.388779999999997</v>
      </c>
      <c r="F20">
        <v>23</v>
      </c>
      <c r="G20">
        <v>196</v>
      </c>
      <c r="H20">
        <f t="shared" si="0"/>
        <v>49.388777777777776</v>
      </c>
      <c r="I20">
        <v>103.62858</v>
      </c>
      <c r="J20" s="5">
        <v>42115</v>
      </c>
      <c r="K20" t="s">
        <v>76</v>
      </c>
    </row>
    <row r="21" spans="1:13" x14ac:dyDescent="0.25">
      <c r="A21">
        <v>20</v>
      </c>
      <c r="B21">
        <v>122</v>
      </c>
      <c r="C21" t="s">
        <v>13</v>
      </c>
      <c r="D21" t="s">
        <v>10</v>
      </c>
      <c r="E21">
        <v>49.387569999999997</v>
      </c>
      <c r="F21">
        <v>23</v>
      </c>
      <c r="G21">
        <v>153</v>
      </c>
      <c r="H21">
        <f t="shared" si="0"/>
        <v>49.387583333333332</v>
      </c>
      <c r="I21">
        <v>103.64319999999999</v>
      </c>
      <c r="J21" s="5">
        <v>42117</v>
      </c>
      <c r="K21" t="s">
        <v>76</v>
      </c>
      <c r="L21" t="s">
        <v>54</v>
      </c>
      <c r="M21">
        <v>425</v>
      </c>
    </row>
    <row r="22" spans="1:13" x14ac:dyDescent="0.25">
      <c r="A22">
        <v>21</v>
      </c>
      <c r="B22">
        <v>118</v>
      </c>
      <c r="C22" t="s">
        <v>13</v>
      </c>
      <c r="D22" t="s">
        <v>9</v>
      </c>
      <c r="E22">
        <v>49.387569999999997</v>
      </c>
      <c r="F22">
        <v>23</v>
      </c>
      <c r="G22">
        <v>152</v>
      </c>
      <c r="H22">
        <f t="shared" si="0"/>
        <v>49.387555555555558</v>
      </c>
      <c r="I22">
        <v>103.64318</v>
      </c>
      <c r="J22" s="5">
        <v>42117</v>
      </c>
      <c r="K22" t="s">
        <v>76</v>
      </c>
      <c r="L22" t="s">
        <v>54</v>
      </c>
      <c r="M22">
        <v>625</v>
      </c>
    </row>
    <row r="23" spans="1:13" x14ac:dyDescent="0.25">
      <c r="A23">
        <v>22</v>
      </c>
      <c r="B23">
        <v>159</v>
      </c>
      <c r="C23" t="s">
        <v>14</v>
      </c>
      <c r="E23">
        <v>49.404119999999999</v>
      </c>
      <c r="F23">
        <v>24</v>
      </c>
      <c r="G23">
        <v>148</v>
      </c>
      <c r="H23">
        <f t="shared" si="0"/>
        <v>49.404111111111106</v>
      </c>
      <c r="I23">
        <v>103.63656</v>
      </c>
      <c r="J23" s="5">
        <v>42119</v>
      </c>
      <c r="K23" t="s">
        <v>76</v>
      </c>
    </row>
    <row r="24" spans="1:13" x14ac:dyDescent="0.25">
      <c r="A24">
        <v>23</v>
      </c>
      <c r="B24">
        <v>102</v>
      </c>
      <c r="C24" t="s">
        <v>14</v>
      </c>
      <c r="E24">
        <v>49.402990000000003</v>
      </c>
      <c r="F24">
        <v>24</v>
      </c>
      <c r="G24">
        <v>108</v>
      </c>
      <c r="H24">
        <f t="shared" si="0"/>
        <v>49.402999999999999</v>
      </c>
      <c r="I24">
        <v>103.63508</v>
      </c>
      <c r="J24" s="5">
        <v>42119</v>
      </c>
      <c r="K24" t="s">
        <v>76</v>
      </c>
    </row>
    <row r="25" spans="1:13" x14ac:dyDescent="0.25">
      <c r="A25">
        <v>24</v>
      </c>
      <c r="B25">
        <v>153</v>
      </c>
      <c r="C25" t="s">
        <v>14</v>
      </c>
      <c r="D25" t="s">
        <v>12</v>
      </c>
      <c r="E25">
        <v>49.39067</v>
      </c>
      <c r="F25">
        <v>23</v>
      </c>
      <c r="G25">
        <v>264</v>
      </c>
      <c r="H25">
        <f t="shared" si="0"/>
        <v>49.390666666666668</v>
      </c>
      <c r="I25">
        <v>103.62102</v>
      </c>
      <c r="J25" s="5">
        <v>42119</v>
      </c>
      <c r="K25" t="s">
        <v>76</v>
      </c>
    </row>
    <row r="26" spans="1:13" x14ac:dyDescent="0.25">
      <c r="A26">
        <v>25</v>
      </c>
      <c r="B26">
        <v>118</v>
      </c>
      <c r="C26" t="s">
        <v>13</v>
      </c>
      <c r="D26" t="s">
        <v>9</v>
      </c>
      <c r="E26">
        <v>49.388579999999997</v>
      </c>
      <c r="F26">
        <v>23</v>
      </c>
      <c r="G26">
        <v>189</v>
      </c>
      <c r="H26">
        <f t="shared" si="0"/>
        <v>49.38858333333333</v>
      </c>
      <c r="I26">
        <v>103.64661</v>
      </c>
      <c r="J26" s="5">
        <v>42119</v>
      </c>
      <c r="K26" t="s">
        <v>76</v>
      </c>
    </row>
    <row r="27" spans="1:13" x14ac:dyDescent="0.25">
      <c r="A27">
        <v>26</v>
      </c>
      <c r="B27">
        <v>122</v>
      </c>
      <c r="C27" t="s">
        <v>13</v>
      </c>
      <c r="D27" t="s">
        <v>10</v>
      </c>
      <c r="E27">
        <v>49.398600000000002</v>
      </c>
      <c r="F27">
        <v>23</v>
      </c>
      <c r="G27">
        <v>550</v>
      </c>
      <c r="H27">
        <f t="shared" si="0"/>
        <v>49.398611111111109</v>
      </c>
      <c r="I27">
        <v>103.69032</v>
      </c>
      <c r="J27" s="5">
        <v>42119</v>
      </c>
      <c r="K27" t="s">
        <v>76</v>
      </c>
    </row>
    <row r="28" spans="1:13" x14ac:dyDescent="0.25">
      <c r="A28">
        <v>27</v>
      </c>
      <c r="B28">
        <v>122</v>
      </c>
      <c r="C28" t="s">
        <v>13</v>
      </c>
      <c r="D28" t="s">
        <v>10</v>
      </c>
      <c r="E28">
        <v>49.424849999999999</v>
      </c>
      <c r="F28">
        <v>25</v>
      </c>
      <c r="G28">
        <v>295</v>
      </c>
      <c r="H28">
        <f t="shared" si="0"/>
        <v>49.424861111111106</v>
      </c>
      <c r="I28">
        <v>103.73649</v>
      </c>
      <c r="J28" s="5">
        <v>42120</v>
      </c>
      <c r="K28" t="s">
        <v>76</v>
      </c>
    </row>
    <row r="29" spans="1:13" x14ac:dyDescent="0.25">
      <c r="A29">
        <v>28</v>
      </c>
      <c r="B29">
        <v>118</v>
      </c>
      <c r="C29" t="s">
        <v>13</v>
      </c>
      <c r="D29" t="s">
        <v>9</v>
      </c>
      <c r="E29">
        <v>49.424210000000002</v>
      </c>
      <c r="F29">
        <v>25</v>
      </c>
      <c r="G29">
        <v>272</v>
      </c>
      <c r="H29">
        <f t="shared" si="0"/>
        <v>49.42422222222222</v>
      </c>
      <c r="I29">
        <v>103.73223</v>
      </c>
      <c r="J29" s="5">
        <v>42121</v>
      </c>
      <c r="K29" t="s">
        <v>76</v>
      </c>
    </row>
    <row r="30" spans="1:13" x14ac:dyDescent="0.25">
      <c r="A30">
        <v>29</v>
      </c>
      <c r="B30">
        <v>159</v>
      </c>
      <c r="C30" t="s">
        <v>14</v>
      </c>
      <c r="E30">
        <v>49.403790000000001</v>
      </c>
      <c r="F30">
        <v>24</v>
      </c>
      <c r="G30">
        <v>136</v>
      </c>
      <c r="H30">
        <f t="shared" si="0"/>
        <v>49.403777777777776</v>
      </c>
      <c r="I30">
        <v>103.63601</v>
      </c>
      <c r="J30" s="5">
        <v>42121</v>
      </c>
      <c r="K30" t="s">
        <v>76</v>
      </c>
    </row>
    <row r="31" spans="1:13" x14ac:dyDescent="0.25">
      <c r="A31">
        <v>30</v>
      </c>
      <c r="B31">
        <v>102</v>
      </c>
      <c r="C31" t="s">
        <v>14</v>
      </c>
      <c r="E31">
        <v>49.404200000000003</v>
      </c>
      <c r="F31">
        <v>24</v>
      </c>
      <c r="G31">
        <v>151</v>
      </c>
      <c r="H31">
        <f t="shared" si="0"/>
        <v>49.404194444444443</v>
      </c>
      <c r="I31">
        <v>103.63616</v>
      </c>
      <c r="J31" s="5">
        <v>42121</v>
      </c>
      <c r="K31" t="s">
        <v>76</v>
      </c>
    </row>
    <row r="32" spans="1:13" x14ac:dyDescent="0.25">
      <c r="A32">
        <v>31</v>
      </c>
      <c r="B32">
        <v>204</v>
      </c>
      <c r="C32" t="s">
        <v>14</v>
      </c>
      <c r="D32" t="s">
        <v>8</v>
      </c>
      <c r="E32">
        <v>49.399349999999998</v>
      </c>
      <c r="F32">
        <v>23</v>
      </c>
      <c r="G32">
        <v>576</v>
      </c>
      <c r="H32">
        <f t="shared" si="0"/>
        <v>49.399333333333331</v>
      </c>
      <c r="I32">
        <v>103.62754</v>
      </c>
      <c r="J32" s="5">
        <v>42121</v>
      </c>
      <c r="K32" t="s">
        <v>76</v>
      </c>
    </row>
    <row r="33" spans="1:11" x14ac:dyDescent="0.25">
      <c r="A33">
        <v>32</v>
      </c>
      <c r="B33">
        <v>153</v>
      </c>
      <c r="C33" t="s">
        <v>14</v>
      </c>
      <c r="D33" t="s">
        <v>7</v>
      </c>
      <c r="E33">
        <v>49.391930000000002</v>
      </c>
      <c r="F33">
        <v>23</v>
      </c>
      <c r="G33">
        <v>309</v>
      </c>
      <c r="H33">
        <f t="shared" si="0"/>
        <v>49.391916666666667</v>
      </c>
      <c r="I33">
        <v>103.61981</v>
      </c>
      <c r="J33" s="5">
        <v>42121</v>
      </c>
      <c r="K33" t="s">
        <v>76</v>
      </c>
    </row>
    <row r="34" spans="1:11" x14ac:dyDescent="0.25">
      <c r="A34">
        <v>33</v>
      </c>
      <c r="B34">
        <v>118</v>
      </c>
      <c r="C34" t="s">
        <v>13</v>
      </c>
      <c r="D34" t="s">
        <v>9</v>
      </c>
      <c r="E34">
        <v>49.424210000000002</v>
      </c>
      <c r="F34">
        <v>25</v>
      </c>
      <c r="G34">
        <v>228</v>
      </c>
      <c r="H34" s="9">
        <f t="shared" si="0"/>
        <v>49.422999999999995</v>
      </c>
      <c r="I34">
        <v>103.73223</v>
      </c>
      <c r="J34" s="5">
        <v>42122</v>
      </c>
      <c r="K34" t="s">
        <v>76</v>
      </c>
    </row>
    <row r="35" spans="1:11" x14ac:dyDescent="0.25">
      <c r="A35">
        <v>34</v>
      </c>
      <c r="B35">
        <v>130</v>
      </c>
      <c r="C35" t="s">
        <v>14</v>
      </c>
      <c r="E35">
        <v>49.597349999999999</v>
      </c>
      <c r="F35">
        <v>35</v>
      </c>
      <c r="G35">
        <v>505</v>
      </c>
      <c r="H35">
        <f t="shared" si="0"/>
        <v>49.597361111111113</v>
      </c>
      <c r="I35">
        <v>103.19092999999999</v>
      </c>
      <c r="J35" s="5">
        <v>42123</v>
      </c>
      <c r="K35" t="s">
        <v>76</v>
      </c>
    </row>
    <row r="36" spans="1:11" x14ac:dyDescent="0.25">
      <c r="B36">
        <v>134</v>
      </c>
      <c r="C36" t="s">
        <v>14</v>
      </c>
      <c r="E36">
        <v>49.587389999999999</v>
      </c>
      <c r="H36">
        <f t="shared" si="0"/>
        <v>49</v>
      </c>
      <c r="I36">
        <v>103.21078</v>
      </c>
      <c r="J36" s="5">
        <v>42123</v>
      </c>
      <c r="K36" t="s">
        <v>76</v>
      </c>
    </row>
    <row r="37" spans="1:11" x14ac:dyDescent="0.25">
      <c r="A37">
        <v>35</v>
      </c>
      <c r="B37">
        <v>158</v>
      </c>
      <c r="C37" t="s">
        <v>14</v>
      </c>
      <c r="E37">
        <v>49.59581</v>
      </c>
      <c r="F37">
        <v>35</v>
      </c>
      <c r="G37">
        <v>449</v>
      </c>
      <c r="H37">
        <f t="shared" si="0"/>
        <v>49.595805555555557</v>
      </c>
      <c r="I37">
        <v>103.21666999999999</v>
      </c>
      <c r="J37" s="5">
        <v>42123</v>
      </c>
      <c r="K37" t="s">
        <v>76</v>
      </c>
    </row>
    <row r="38" spans="1:11" x14ac:dyDescent="0.25">
      <c r="B38">
        <v>120</v>
      </c>
      <c r="C38" t="s">
        <v>14</v>
      </c>
      <c r="E38">
        <v>49.515419999999999</v>
      </c>
      <c r="H38">
        <f t="shared" si="0"/>
        <v>49</v>
      </c>
      <c r="I38">
        <v>103.31726999999999</v>
      </c>
      <c r="J38" s="5">
        <v>42123</v>
      </c>
      <c r="K38" t="s">
        <v>76</v>
      </c>
    </row>
    <row r="39" spans="1:11" x14ac:dyDescent="0.25">
      <c r="A39">
        <v>38</v>
      </c>
      <c r="B39">
        <v>104</v>
      </c>
      <c r="C39" t="s">
        <v>14</v>
      </c>
      <c r="E39">
        <v>49.505139999999997</v>
      </c>
      <c r="F39">
        <v>30</v>
      </c>
      <c r="G39">
        <v>185</v>
      </c>
      <c r="H39">
        <f t="shared" si="0"/>
        <v>49.505138888888887</v>
      </c>
      <c r="I39">
        <v>103.34123</v>
      </c>
      <c r="J39" s="5">
        <v>42123</v>
      </c>
      <c r="K39" t="s">
        <v>76</v>
      </c>
    </row>
    <row r="40" spans="1:11" x14ac:dyDescent="0.25">
      <c r="A40">
        <v>39</v>
      </c>
      <c r="B40">
        <v>154</v>
      </c>
      <c r="C40" t="s">
        <v>14</v>
      </c>
      <c r="E40">
        <v>49.448239999999998</v>
      </c>
      <c r="F40">
        <v>26</v>
      </c>
      <c r="G40">
        <v>537</v>
      </c>
      <c r="H40">
        <f t="shared" si="0"/>
        <v>49.448249999999994</v>
      </c>
      <c r="I40">
        <v>103.46535</v>
      </c>
      <c r="J40" s="5">
        <v>42123</v>
      </c>
      <c r="K40" t="s">
        <v>76</v>
      </c>
    </row>
    <row r="41" spans="1:11" x14ac:dyDescent="0.25">
      <c r="A41">
        <v>40</v>
      </c>
      <c r="B41">
        <v>157</v>
      </c>
      <c r="C41" t="s">
        <v>14</v>
      </c>
      <c r="E41">
        <v>49.444299999999998</v>
      </c>
      <c r="F41">
        <v>26</v>
      </c>
      <c r="G41">
        <v>395</v>
      </c>
      <c r="H41">
        <f t="shared" si="0"/>
        <v>49.444305555555552</v>
      </c>
      <c r="I41">
        <v>103.4853</v>
      </c>
      <c r="J41" s="5">
        <v>42123</v>
      </c>
      <c r="K41" t="s">
        <v>76</v>
      </c>
    </row>
    <row r="42" spans="1:11" x14ac:dyDescent="0.25">
      <c r="A42">
        <v>41</v>
      </c>
      <c r="B42">
        <v>151</v>
      </c>
      <c r="C42" t="s">
        <v>14</v>
      </c>
      <c r="E42">
        <v>49.431150000000002</v>
      </c>
      <c r="F42">
        <v>25</v>
      </c>
      <c r="G42">
        <v>521</v>
      </c>
      <c r="H42">
        <f t="shared" si="0"/>
        <v>49.431138888888889</v>
      </c>
      <c r="I42">
        <v>103.50506</v>
      </c>
      <c r="J42" s="5">
        <v>42123</v>
      </c>
      <c r="K42" t="s">
        <v>76</v>
      </c>
    </row>
    <row r="43" spans="1:11" x14ac:dyDescent="0.25">
      <c r="A43">
        <v>42</v>
      </c>
      <c r="B43">
        <v>155</v>
      </c>
      <c r="C43" t="s">
        <v>14</v>
      </c>
      <c r="E43">
        <v>49.42709</v>
      </c>
      <c r="F43">
        <v>25</v>
      </c>
      <c r="G43">
        <v>375</v>
      </c>
      <c r="H43">
        <f t="shared" si="0"/>
        <v>49.427083333333329</v>
      </c>
      <c r="I43">
        <v>103.51047</v>
      </c>
      <c r="J43" s="5">
        <v>42123</v>
      </c>
      <c r="K43" t="s">
        <v>76</v>
      </c>
    </row>
    <row r="44" spans="1:11" x14ac:dyDescent="0.25">
      <c r="A44">
        <v>43</v>
      </c>
      <c r="B44">
        <v>156</v>
      </c>
      <c r="C44" t="s">
        <v>14</v>
      </c>
      <c r="E44">
        <v>49.434420000000003</v>
      </c>
      <c r="F44">
        <v>26</v>
      </c>
      <c r="G44">
        <v>39</v>
      </c>
      <c r="H44">
        <f t="shared" si="0"/>
        <v>49.434416666666664</v>
      </c>
      <c r="I44">
        <v>103.54703000000001</v>
      </c>
      <c r="J44" s="5">
        <v>42123</v>
      </c>
      <c r="K44" t="s">
        <v>76</v>
      </c>
    </row>
    <row r="45" spans="1:11" x14ac:dyDescent="0.25">
      <c r="A45">
        <v>44</v>
      </c>
      <c r="B45">
        <v>153</v>
      </c>
      <c r="C45" t="s">
        <v>14</v>
      </c>
      <c r="D45" t="s">
        <v>7</v>
      </c>
      <c r="E45">
        <v>49.405830000000002</v>
      </c>
      <c r="F45">
        <v>24</v>
      </c>
      <c r="G45">
        <v>210</v>
      </c>
      <c r="H45">
        <f t="shared" si="0"/>
        <v>49.405833333333334</v>
      </c>
      <c r="I45">
        <v>103.63869</v>
      </c>
      <c r="J45" s="5">
        <v>42124</v>
      </c>
      <c r="K45" t="s">
        <v>76</v>
      </c>
    </row>
    <row r="46" spans="1:11" x14ac:dyDescent="0.25">
      <c r="A46">
        <v>45</v>
      </c>
      <c r="B46">
        <v>159</v>
      </c>
      <c r="C46" t="s">
        <v>14</v>
      </c>
      <c r="E46">
        <v>49.403399999999998</v>
      </c>
      <c r="F46">
        <v>24</v>
      </c>
      <c r="G46">
        <v>109</v>
      </c>
      <c r="H46">
        <f t="shared" si="0"/>
        <v>49.40302777777778</v>
      </c>
      <c r="I46">
        <v>103.63495</v>
      </c>
      <c r="J46" s="5">
        <v>42124</v>
      </c>
      <c r="K46" t="s">
        <v>76</v>
      </c>
    </row>
    <row r="47" spans="1:11" x14ac:dyDescent="0.25">
      <c r="A47">
        <v>46</v>
      </c>
      <c r="B47">
        <v>102</v>
      </c>
      <c r="C47" t="s">
        <v>14</v>
      </c>
      <c r="D47" t="s">
        <v>11</v>
      </c>
      <c r="E47">
        <v>49.402650000000001</v>
      </c>
      <c r="F47">
        <v>24</v>
      </c>
      <c r="G47">
        <v>95</v>
      </c>
      <c r="H47">
        <f t="shared" si="0"/>
        <v>49.402638888888887</v>
      </c>
      <c r="I47">
        <v>103.63370999999999</v>
      </c>
      <c r="J47" s="5">
        <v>42124</v>
      </c>
      <c r="K47" t="s">
        <v>76</v>
      </c>
    </row>
    <row r="48" spans="1:11" x14ac:dyDescent="0.25">
      <c r="A48">
        <v>47</v>
      </c>
      <c r="B48">
        <v>102</v>
      </c>
      <c r="C48" t="s">
        <v>14</v>
      </c>
      <c r="D48" t="s">
        <v>11</v>
      </c>
      <c r="E48">
        <v>49.404600000000002</v>
      </c>
      <c r="F48">
        <v>24</v>
      </c>
      <c r="G48">
        <v>166</v>
      </c>
      <c r="H48">
        <f t="shared" si="0"/>
        <v>49.404611111111109</v>
      </c>
      <c r="I48">
        <v>103.63676</v>
      </c>
      <c r="J48" s="5">
        <v>42127</v>
      </c>
      <c r="K48" t="s">
        <v>76</v>
      </c>
    </row>
    <row r="49" spans="1:11" x14ac:dyDescent="0.25">
      <c r="A49">
        <v>48</v>
      </c>
      <c r="B49">
        <v>159</v>
      </c>
      <c r="C49" t="s">
        <v>14</v>
      </c>
      <c r="D49" t="s">
        <v>11</v>
      </c>
      <c r="E49">
        <v>49.403730000000003</v>
      </c>
      <c r="F49">
        <v>24</v>
      </c>
      <c r="G49">
        <v>134</v>
      </c>
      <c r="H49">
        <f t="shared" si="0"/>
        <v>49.403722222222221</v>
      </c>
      <c r="I49">
        <v>103.63514000000001</v>
      </c>
      <c r="J49" s="5">
        <v>42127</v>
      </c>
      <c r="K49" t="s">
        <v>76</v>
      </c>
    </row>
    <row r="50" spans="1:11" x14ac:dyDescent="0.25">
      <c r="A50">
        <v>49</v>
      </c>
      <c r="B50">
        <v>157</v>
      </c>
      <c r="C50" t="s">
        <v>14</v>
      </c>
      <c r="D50" t="s">
        <v>11</v>
      </c>
      <c r="E50">
        <v>49</v>
      </c>
      <c r="F50">
        <v>26</v>
      </c>
      <c r="G50">
        <v>55</v>
      </c>
      <c r="H50">
        <f t="shared" si="0"/>
        <v>49.434861111111111</v>
      </c>
      <c r="I50">
        <v>103.27432</v>
      </c>
      <c r="J50" s="5">
        <v>42131</v>
      </c>
      <c r="K50" t="s">
        <v>76</v>
      </c>
    </row>
    <row r="51" spans="1:11" x14ac:dyDescent="0.25">
      <c r="A51">
        <v>50</v>
      </c>
      <c r="B51">
        <v>154</v>
      </c>
      <c r="C51" t="s">
        <v>14</v>
      </c>
      <c r="D51" t="s">
        <v>11</v>
      </c>
      <c r="E51">
        <v>49</v>
      </c>
      <c r="F51">
        <v>26</v>
      </c>
      <c r="G51">
        <v>454</v>
      </c>
      <c r="H51">
        <f t="shared" si="0"/>
        <v>49.445944444444443</v>
      </c>
      <c r="I51">
        <v>103.28067</v>
      </c>
      <c r="J51" s="5">
        <v>42131</v>
      </c>
      <c r="K51" t="s">
        <v>76</v>
      </c>
    </row>
    <row r="52" spans="1:11" x14ac:dyDescent="0.25">
      <c r="A52">
        <v>51</v>
      </c>
      <c r="B52">
        <v>157</v>
      </c>
      <c r="C52" t="s">
        <v>14</v>
      </c>
      <c r="D52" t="s">
        <v>11</v>
      </c>
      <c r="E52">
        <v>49</v>
      </c>
      <c r="F52">
        <v>56</v>
      </c>
      <c r="G52">
        <v>555</v>
      </c>
      <c r="H52">
        <f t="shared" si="0"/>
        <v>49.948749999999997</v>
      </c>
      <c r="I52">
        <v>103.27418</v>
      </c>
      <c r="J52" s="5">
        <v>42131</v>
      </c>
      <c r="K52" t="s">
        <v>76</v>
      </c>
    </row>
    <row r="53" spans="1:11" x14ac:dyDescent="0.25">
      <c r="A53">
        <v>52</v>
      </c>
      <c r="B53">
        <v>154</v>
      </c>
      <c r="C53" t="s">
        <v>14</v>
      </c>
      <c r="D53" t="s">
        <v>11</v>
      </c>
      <c r="E53">
        <v>49</v>
      </c>
      <c r="F53">
        <v>26</v>
      </c>
      <c r="G53">
        <v>452</v>
      </c>
      <c r="H53">
        <f t="shared" si="0"/>
        <v>49.445888888888888</v>
      </c>
      <c r="I53">
        <v>103.28073000000001</v>
      </c>
      <c r="J53" s="5">
        <v>42131</v>
      </c>
      <c r="K53" t="s">
        <v>76</v>
      </c>
    </row>
    <row r="54" spans="1:11" x14ac:dyDescent="0.25">
      <c r="A54">
        <v>53</v>
      </c>
      <c r="B54">
        <v>157</v>
      </c>
      <c r="C54" t="s">
        <v>14</v>
      </c>
      <c r="D54" t="s">
        <v>11</v>
      </c>
      <c r="E54">
        <v>49</v>
      </c>
      <c r="F54">
        <v>26</v>
      </c>
      <c r="G54">
        <v>551</v>
      </c>
      <c r="H54">
        <f t="shared" si="0"/>
        <v>49.448638888888887</v>
      </c>
      <c r="I54">
        <v>103.27428999999999</v>
      </c>
      <c r="J54" s="5">
        <v>42131</v>
      </c>
      <c r="K54" t="s">
        <v>76</v>
      </c>
    </row>
    <row r="55" spans="1:11" x14ac:dyDescent="0.25">
      <c r="A55">
        <v>54</v>
      </c>
      <c r="B55">
        <v>154</v>
      </c>
      <c r="C55" t="s">
        <v>14</v>
      </c>
      <c r="D55" t="s">
        <v>11</v>
      </c>
      <c r="E55">
        <v>49</v>
      </c>
      <c r="F55">
        <v>26</v>
      </c>
      <c r="G55">
        <v>454</v>
      </c>
      <c r="H55">
        <f t="shared" si="0"/>
        <v>49.445944444444443</v>
      </c>
      <c r="I55">
        <v>103.27065</v>
      </c>
      <c r="J55" s="5">
        <v>42131</v>
      </c>
      <c r="K55" t="s">
        <v>76</v>
      </c>
    </row>
    <row r="56" spans="1:11" x14ac:dyDescent="0.25">
      <c r="A56">
        <v>55</v>
      </c>
      <c r="B56">
        <v>157</v>
      </c>
      <c r="C56" t="s">
        <v>14</v>
      </c>
      <c r="D56" t="s">
        <v>11</v>
      </c>
      <c r="E56">
        <v>49</v>
      </c>
      <c r="F56">
        <v>26</v>
      </c>
      <c r="G56">
        <v>553</v>
      </c>
      <c r="H56">
        <f t="shared" si="0"/>
        <v>49.448694444444442</v>
      </c>
      <c r="I56">
        <v>103.27428</v>
      </c>
      <c r="J56" s="5">
        <v>42131</v>
      </c>
      <c r="K56" t="s">
        <v>76</v>
      </c>
    </row>
    <row r="57" spans="1:11" x14ac:dyDescent="0.25">
      <c r="A57">
        <v>56</v>
      </c>
      <c r="B57">
        <v>154</v>
      </c>
      <c r="C57" t="s">
        <v>14</v>
      </c>
      <c r="D57" t="s">
        <v>11</v>
      </c>
      <c r="E57">
        <v>49</v>
      </c>
      <c r="F57">
        <v>26</v>
      </c>
      <c r="G57">
        <v>455</v>
      </c>
      <c r="H57">
        <f t="shared" si="0"/>
        <v>49.445972222222217</v>
      </c>
      <c r="I57">
        <v>103.27065</v>
      </c>
      <c r="J57" s="5">
        <v>115179</v>
      </c>
      <c r="K57" t="s">
        <v>76</v>
      </c>
    </row>
    <row r="58" spans="1:11" x14ac:dyDescent="0.25">
      <c r="A58">
        <v>57</v>
      </c>
      <c r="B58">
        <v>157</v>
      </c>
      <c r="C58" t="s">
        <v>14</v>
      </c>
      <c r="D58" t="s">
        <v>11</v>
      </c>
      <c r="E58">
        <v>49</v>
      </c>
      <c r="F58">
        <v>26</v>
      </c>
      <c r="G58">
        <v>559</v>
      </c>
      <c r="H58">
        <f t="shared" si="0"/>
        <v>49.448861111111107</v>
      </c>
      <c r="I58">
        <v>103.27410999999999</v>
      </c>
      <c r="J58" s="5">
        <v>42131</v>
      </c>
      <c r="K58" t="s">
        <v>76</v>
      </c>
    </row>
    <row r="59" spans="1:11" x14ac:dyDescent="0.25">
      <c r="A59">
        <v>58</v>
      </c>
      <c r="B59">
        <v>154</v>
      </c>
      <c r="C59" t="s">
        <v>14</v>
      </c>
      <c r="D59" t="s">
        <v>11</v>
      </c>
      <c r="E59">
        <v>49</v>
      </c>
      <c r="F59">
        <v>26</v>
      </c>
      <c r="G59">
        <v>455</v>
      </c>
      <c r="H59">
        <f t="shared" si="0"/>
        <v>49.445972222222217</v>
      </c>
      <c r="I59">
        <v>103.28064999999999</v>
      </c>
      <c r="J59" s="5">
        <v>42131</v>
      </c>
      <c r="K59" t="s">
        <v>76</v>
      </c>
    </row>
    <row r="60" spans="1:11" x14ac:dyDescent="0.25">
      <c r="A60">
        <v>59</v>
      </c>
      <c r="B60">
        <v>157</v>
      </c>
      <c r="C60" t="s">
        <v>14</v>
      </c>
      <c r="D60" t="s">
        <v>11</v>
      </c>
      <c r="E60">
        <v>49</v>
      </c>
      <c r="F60">
        <v>26</v>
      </c>
      <c r="G60">
        <v>554</v>
      </c>
      <c r="H60">
        <f t="shared" si="0"/>
        <v>49.448722222222216</v>
      </c>
      <c r="I60">
        <v>103.27421</v>
      </c>
      <c r="J60" s="5">
        <v>42131</v>
      </c>
      <c r="K60" t="s">
        <v>76</v>
      </c>
    </row>
    <row r="61" spans="1:11" x14ac:dyDescent="0.25">
      <c r="A61">
        <v>60</v>
      </c>
      <c r="B61">
        <v>154</v>
      </c>
      <c r="C61" t="s">
        <v>14</v>
      </c>
      <c r="D61" t="s">
        <v>11</v>
      </c>
      <c r="E61">
        <v>49</v>
      </c>
      <c r="F61">
        <v>26</v>
      </c>
      <c r="G61">
        <v>454</v>
      </c>
      <c r="H61">
        <f t="shared" si="0"/>
        <v>49.445944444444443</v>
      </c>
      <c r="I61">
        <v>103.28067</v>
      </c>
      <c r="J61" s="5">
        <v>42131</v>
      </c>
      <c r="K61" t="s">
        <v>76</v>
      </c>
    </row>
    <row r="62" spans="1:11" x14ac:dyDescent="0.25">
      <c r="A62">
        <v>61</v>
      </c>
      <c r="B62">
        <v>157</v>
      </c>
      <c r="C62" t="s">
        <v>14</v>
      </c>
      <c r="D62" t="s">
        <v>11</v>
      </c>
      <c r="E62">
        <v>49</v>
      </c>
      <c r="F62">
        <v>26</v>
      </c>
      <c r="G62">
        <v>553</v>
      </c>
      <c r="H62">
        <f t="shared" si="0"/>
        <v>49.448694444444442</v>
      </c>
      <c r="I62">
        <v>103.27421</v>
      </c>
      <c r="J62" s="5">
        <v>42131</v>
      </c>
      <c r="K62" t="s">
        <v>76</v>
      </c>
    </row>
    <row r="63" spans="1:11" x14ac:dyDescent="0.25">
      <c r="A63">
        <v>62</v>
      </c>
      <c r="B63">
        <v>154</v>
      </c>
      <c r="C63" t="s">
        <v>14</v>
      </c>
      <c r="D63" t="s">
        <v>11</v>
      </c>
      <c r="E63">
        <v>49</v>
      </c>
      <c r="F63">
        <v>26</v>
      </c>
      <c r="G63">
        <v>452</v>
      </c>
      <c r="H63">
        <f t="shared" si="0"/>
        <v>49.445888888888888</v>
      </c>
      <c r="I63">
        <v>103.28076</v>
      </c>
      <c r="J63" s="5">
        <v>42131</v>
      </c>
      <c r="K63" t="s">
        <v>76</v>
      </c>
    </row>
    <row r="64" spans="1:11" x14ac:dyDescent="0.25">
      <c r="A64">
        <v>63</v>
      </c>
      <c r="B64">
        <v>157</v>
      </c>
      <c r="C64" t="s">
        <v>14</v>
      </c>
      <c r="D64" t="s">
        <v>11</v>
      </c>
      <c r="E64">
        <v>49</v>
      </c>
      <c r="F64">
        <v>26</v>
      </c>
      <c r="G64">
        <v>556</v>
      </c>
      <c r="H64">
        <f t="shared" si="0"/>
        <v>49.448777777777778</v>
      </c>
      <c r="I64">
        <v>103.27418</v>
      </c>
      <c r="J64" s="5">
        <v>42131</v>
      </c>
      <c r="K64" t="s">
        <v>76</v>
      </c>
    </row>
    <row r="65" spans="1:11" x14ac:dyDescent="0.25">
      <c r="A65">
        <v>64</v>
      </c>
      <c r="B65">
        <v>154</v>
      </c>
      <c r="C65" t="s">
        <v>14</v>
      </c>
      <c r="D65" t="s">
        <v>11</v>
      </c>
      <c r="E65">
        <v>49</v>
      </c>
      <c r="F65">
        <v>26</v>
      </c>
      <c r="G65">
        <v>455</v>
      </c>
      <c r="H65">
        <f t="shared" si="0"/>
        <v>49.445972222222217</v>
      </c>
      <c r="I65">
        <v>103.28064999999999</v>
      </c>
      <c r="J65" s="5">
        <v>42131</v>
      </c>
      <c r="K65" t="s">
        <v>76</v>
      </c>
    </row>
    <row r="66" spans="1:11" x14ac:dyDescent="0.25">
      <c r="A66">
        <v>65</v>
      </c>
      <c r="B66">
        <v>157</v>
      </c>
      <c r="C66" t="s">
        <v>14</v>
      </c>
      <c r="D66" t="s">
        <v>11</v>
      </c>
      <c r="E66">
        <v>49</v>
      </c>
      <c r="F66">
        <v>26</v>
      </c>
      <c r="G66">
        <v>555</v>
      </c>
      <c r="H66">
        <f t="shared" si="0"/>
        <v>49.448749999999997</v>
      </c>
      <c r="I66">
        <v>103.27418</v>
      </c>
      <c r="J66" s="5">
        <v>42131</v>
      </c>
      <c r="K66" t="s">
        <v>76</v>
      </c>
    </row>
    <row r="67" spans="1:11" x14ac:dyDescent="0.25">
      <c r="A67">
        <v>66</v>
      </c>
      <c r="B67">
        <v>154</v>
      </c>
      <c r="C67" t="s">
        <v>14</v>
      </c>
      <c r="D67" t="s">
        <v>11</v>
      </c>
      <c r="E67">
        <v>49</v>
      </c>
      <c r="F67">
        <v>26</v>
      </c>
      <c r="G67">
        <v>455</v>
      </c>
      <c r="H67">
        <f t="shared" ref="H67:H94" si="1">49+(F67/60)+(G67/36000)</f>
        <v>49.445972222222217</v>
      </c>
      <c r="I67">
        <v>103.28064999999999</v>
      </c>
      <c r="J67" s="5">
        <v>42131</v>
      </c>
      <c r="K67" t="s">
        <v>76</v>
      </c>
    </row>
    <row r="68" spans="1:11" x14ac:dyDescent="0.25">
      <c r="A68">
        <v>67</v>
      </c>
      <c r="B68">
        <v>157</v>
      </c>
      <c r="C68" t="s">
        <v>14</v>
      </c>
      <c r="D68" t="s">
        <v>11</v>
      </c>
      <c r="E68">
        <v>49</v>
      </c>
      <c r="F68">
        <v>26</v>
      </c>
      <c r="G68">
        <v>555</v>
      </c>
      <c r="H68">
        <f t="shared" si="1"/>
        <v>49.448749999999997</v>
      </c>
      <c r="I68">
        <v>103.27419</v>
      </c>
      <c r="J68" s="5">
        <v>42131</v>
      </c>
      <c r="K68" t="s">
        <v>76</v>
      </c>
    </row>
    <row r="69" spans="1:11" x14ac:dyDescent="0.25">
      <c r="A69">
        <v>68</v>
      </c>
      <c r="B69">
        <v>154</v>
      </c>
      <c r="C69" t="s">
        <v>14</v>
      </c>
      <c r="D69" t="s">
        <v>11</v>
      </c>
      <c r="E69">
        <v>49</v>
      </c>
      <c r="F69">
        <v>26</v>
      </c>
      <c r="G69">
        <v>456</v>
      </c>
      <c r="H69">
        <f t="shared" si="1"/>
        <v>49.445999999999998</v>
      </c>
      <c r="I69">
        <v>103.28062</v>
      </c>
      <c r="J69" s="5">
        <v>42131</v>
      </c>
      <c r="K69" t="s">
        <v>76</v>
      </c>
    </row>
    <row r="70" spans="1:11" x14ac:dyDescent="0.25">
      <c r="A70">
        <v>69</v>
      </c>
      <c r="B70">
        <v>157</v>
      </c>
      <c r="C70" t="s">
        <v>14</v>
      </c>
      <c r="D70" t="s">
        <v>11</v>
      </c>
      <c r="E70">
        <v>49</v>
      </c>
      <c r="F70">
        <v>26</v>
      </c>
      <c r="G70">
        <v>566</v>
      </c>
      <c r="H70">
        <f t="shared" si="1"/>
        <v>49.449055555555553</v>
      </c>
      <c r="I70">
        <v>103.27409</v>
      </c>
      <c r="J70" s="5">
        <v>42132</v>
      </c>
      <c r="K70" t="s">
        <v>76</v>
      </c>
    </row>
    <row r="71" spans="1:11" x14ac:dyDescent="0.25">
      <c r="A71">
        <v>70</v>
      </c>
      <c r="B71">
        <v>154</v>
      </c>
      <c r="C71" t="s">
        <v>14</v>
      </c>
      <c r="D71" t="s">
        <v>11</v>
      </c>
      <c r="E71">
        <v>49</v>
      </c>
      <c r="F71">
        <v>26</v>
      </c>
      <c r="G71">
        <v>449</v>
      </c>
      <c r="H71">
        <f t="shared" si="1"/>
        <v>49.445805555555552</v>
      </c>
      <c r="I71">
        <v>103.28310999999999</v>
      </c>
      <c r="J71" s="5">
        <v>42132</v>
      </c>
      <c r="K71" t="s">
        <v>76</v>
      </c>
    </row>
    <row r="72" spans="1:11" x14ac:dyDescent="0.25">
      <c r="A72">
        <v>71</v>
      </c>
      <c r="B72">
        <v>151</v>
      </c>
      <c r="C72" t="s">
        <v>14</v>
      </c>
      <c r="D72" t="s">
        <v>11</v>
      </c>
      <c r="E72">
        <v>49</v>
      </c>
      <c r="F72">
        <v>25</v>
      </c>
      <c r="G72">
        <v>544</v>
      </c>
      <c r="H72">
        <f t="shared" si="1"/>
        <v>49.431777777777775</v>
      </c>
      <c r="I72">
        <v>103.30011</v>
      </c>
      <c r="J72" s="5">
        <v>42132</v>
      </c>
      <c r="K72" t="s">
        <v>76</v>
      </c>
    </row>
    <row r="73" spans="1:11" x14ac:dyDescent="0.25">
      <c r="A73">
        <v>72</v>
      </c>
      <c r="B73">
        <v>155</v>
      </c>
      <c r="C73" t="s">
        <v>14</v>
      </c>
      <c r="D73" t="s">
        <v>11</v>
      </c>
      <c r="E73">
        <v>49</v>
      </c>
      <c r="F73">
        <v>25</v>
      </c>
      <c r="G73">
        <v>353</v>
      </c>
      <c r="H73">
        <f t="shared" si="1"/>
        <v>49.426472222222223</v>
      </c>
      <c r="I73">
        <v>103.30436</v>
      </c>
      <c r="J73" s="5">
        <v>42132</v>
      </c>
      <c r="K73" t="s">
        <v>76</v>
      </c>
    </row>
    <row r="74" spans="1:11" x14ac:dyDescent="0.25">
      <c r="A74">
        <v>73</v>
      </c>
      <c r="B74">
        <v>153</v>
      </c>
      <c r="C74" t="s">
        <v>14</v>
      </c>
      <c r="D74" t="s">
        <v>11</v>
      </c>
      <c r="E74">
        <v>49</v>
      </c>
      <c r="F74">
        <v>25</v>
      </c>
      <c r="G74">
        <v>571</v>
      </c>
      <c r="H74">
        <f t="shared" si="1"/>
        <v>49.432527777777779</v>
      </c>
      <c r="I74">
        <v>103.31255</v>
      </c>
      <c r="J74" s="5">
        <v>42132</v>
      </c>
      <c r="K74" t="s">
        <v>76</v>
      </c>
    </row>
    <row r="75" spans="1:11" x14ac:dyDescent="0.25">
      <c r="A75">
        <v>74</v>
      </c>
      <c r="B75">
        <v>156</v>
      </c>
      <c r="C75" t="s">
        <v>14</v>
      </c>
      <c r="D75" t="s">
        <v>11</v>
      </c>
      <c r="E75">
        <v>49</v>
      </c>
      <c r="F75">
        <v>25</v>
      </c>
      <c r="G75">
        <v>573</v>
      </c>
      <c r="H75">
        <f t="shared" si="1"/>
        <v>49.432583333333334</v>
      </c>
      <c r="I75">
        <v>103.32427</v>
      </c>
      <c r="J75" s="5">
        <v>42132</v>
      </c>
      <c r="K75" t="s">
        <v>76</v>
      </c>
    </row>
    <row r="76" spans="1:11" x14ac:dyDescent="0.25">
      <c r="A76">
        <v>75</v>
      </c>
      <c r="B76">
        <v>124</v>
      </c>
      <c r="C76" t="s">
        <v>14</v>
      </c>
      <c r="D76" t="s">
        <v>9</v>
      </c>
      <c r="E76">
        <v>49</v>
      </c>
      <c r="F76">
        <v>25</v>
      </c>
      <c r="G76">
        <v>411</v>
      </c>
      <c r="H76">
        <f t="shared" si="1"/>
        <v>49.428083333333333</v>
      </c>
      <c r="I76">
        <v>103.34177</v>
      </c>
      <c r="J76" s="5">
        <v>42132</v>
      </c>
      <c r="K76" t="s">
        <v>76</v>
      </c>
    </row>
    <row r="77" spans="1:11" x14ac:dyDescent="0.25">
      <c r="A77">
        <v>76</v>
      </c>
      <c r="B77">
        <v>102</v>
      </c>
      <c r="C77" t="s">
        <v>14</v>
      </c>
      <c r="D77" t="s">
        <v>11</v>
      </c>
      <c r="E77">
        <v>49</v>
      </c>
      <c r="F77">
        <v>24</v>
      </c>
      <c r="G77">
        <v>137</v>
      </c>
      <c r="H77">
        <f t="shared" si="1"/>
        <v>49.403805555555557</v>
      </c>
      <c r="I77">
        <v>103.34177</v>
      </c>
      <c r="J77" s="5">
        <v>42132</v>
      </c>
      <c r="K77" t="s">
        <v>76</v>
      </c>
    </row>
    <row r="78" spans="1:11" x14ac:dyDescent="0.25">
      <c r="A78">
        <v>77</v>
      </c>
      <c r="B78">
        <v>159</v>
      </c>
      <c r="C78" t="s">
        <v>14</v>
      </c>
      <c r="D78" t="s">
        <v>11</v>
      </c>
      <c r="E78">
        <v>49</v>
      </c>
      <c r="F78">
        <v>24</v>
      </c>
      <c r="G78">
        <v>137</v>
      </c>
      <c r="H78">
        <f t="shared" si="1"/>
        <v>49.403805555555557</v>
      </c>
      <c r="I78">
        <v>103.38099</v>
      </c>
      <c r="J78" s="5">
        <v>42132</v>
      </c>
      <c r="K78" t="s">
        <v>76</v>
      </c>
    </row>
    <row r="79" spans="1:11" x14ac:dyDescent="0.25">
      <c r="A79">
        <v>78</v>
      </c>
      <c r="B79">
        <v>204</v>
      </c>
      <c r="C79" t="s">
        <v>14</v>
      </c>
      <c r="D79" t="s">
        <v>8</v>
      </c>
      <c r="E79">
        <v>49</v>
      </c>
      <c r="F79">
        <v>23</v>
      </c>
      <c r="G79">
        <v>584</v>
      </c>
      <c r="H79">
        <f t="shared" si="1"/>
        <v>49.399555555555558</v>
      </c>
      <c r="I79">
        <v>103.37396</v>
      </c>
      <c r="J79" s="5">
        <v>42132</v>
      </c>
      <c r="K79" t="s">
        <v>76</v>
      </c>
    </row>
    <row r="80" spans="1:11" x14ac:dyDescent="0.25">
      <c r="A80">
        <v>79</v>
      </c>
      <c r="B80">
        <v>157</v>
      </c>
      <c r="C80" t="s">
        <v>14</v>
      </c>
      <c r="D80" t="s">
        <v>11</v>
      </c>
      <c r="E80">
        <v>49</v>
      </c>
      <c r="F80">
        <v>26</v>
      </c>
      <c r="G80">
        <v>567</v>
      </c>
      <c r="H80">
        <f t="shared" si="1"/>
        <v>49.449083333333327</v>
      </c>
      <c r="I80">
        <v>103.27417</v>
      </c>
      <c r="J80" s="5">
        <v>42133</v>
      </c>
      <c r="K80" t="s">
        <v>76</v>
      </c>
    </row>
    <row r="81" spans="1:11" x14ac:dyDescent="0.25">
      <c r="A81">
        <v>80</v>
      </c>
      <c r="B81">
        <v>154</v>
      </c>
      <c r="C81" t="s">
        <v>14</v>
      </c>
      <c r="D81" t="s">
        <v>11</v>
      </c>
      <c r="E81">
        <v>49</v>
      </c>
      <c r="F81">
        <v>26</v>
      </c>
      <c r="G81">
        <v>444</v>
      </c>
      <c r="H81">
        <f t="shared" si="1"/>
        <v>49.445666666666661</v>
      </c>
      <c r="I81">
        <v>103.2835</v>
      </c>
      <c r="J81" s="5">
        <v>42133</v>
      </c>
      <c r="K81" t="s">
        <v>76</v>
      </c>
    </row>
    <row r="82" spans="1:11" x14ac:dyDescent="0.25">
      <c r="A82">
        <v>81</v>
      </c>
      <c r="B82">
        <v>155</v>
      </c>
      <c r="C82" t="s">
        <v>14</v>
      </c>
      <c r="D82" t="s">
        <v>11</v>
      </c>
      <c r="E82">
        <v>49</v>
      </c>
      <c r="F82">
        <v>25</v>
      </c>
      <c r="G82">
        <v>357</v>
      </c>
      <c r="H82">
        <f t="shared" si="1"/>
        <v>49.426583333333333</v>
      </c>
      <c r="I82">
        <v>103.30410000000001</v>
      </c>
      <c r="J82" s="5">
        <v>42133</v>
      </c>
      <c r="K82" t="s">
        <v>76</v>
      </c>
    </row>
    <row r="83" spans="1:11" x14ac:dyDescent="0.25">
      <c r="A83">
        <v>82</v>
      </c>
      <c r="B83">
        <v>151</v>
      </c>
      <c r="C83" t="s">
        <v>14</v>
      </c>
      <c r="D83" t="s">
        <v>11</v>
      </c>
      <c r="E83">
        <v>49</v>
      </c>
      <c r="F83">
        <v>25</v>
      </c>
      <c r="G83">
        <v>361</v>
      </c>
      <c r="H83">
        <f t="shared" si="1"/>
        <v>49.426694444444443</v>
      </c>
      <c r="I83">
        <v>103.30421</v>
      </c>
      <c r="J83" s="5">
        <v>42133</v>
      </c>
      <c r="K83" t="s">
        <v>76</v>
      </c>
    </row>
    <row r="84" spans="1:11" x14ac:dyDescent="0.25">
      <c r="A84">
        <v>83</v>
      </c>
      <c r="B84">
        <v>153</v>
      </c>
      <c r="C84" t="s">
        <v>14</v>
      </c>
      <c r="D84" t="s">
        <v>7</v>
      </c>
      <c r="E84">
        <v>49</v>
      </c>
      <c r="F84">
        <v>25</v>
      </c>
      <c r="G84">
        <v>35</v>
      </c>
      <c r="H84">
        <f t="shared" si="1"/>
        <v>49.417638888888888</v>
      </c>
      <c r="I84">
        <v>103.30459</v>
      </c>
      <c r="J84" s="5">
        <v>42133</v>
      </c>
      <c r="K84" t="s">
        <v>76</v>
      </c>
    </row>
    <row r="85" spans="1:11" x14ac:dyDescent="0.25">
      <c r="A85">
        <v>84</v>
      </c>
      <c r="B85">
        <v>124</v>
      </c>
      <c r="C85" t="s">
        <v>14</v>
      </c>
      <c r="D85" t="s">
        <v>9</v>
      </c>
      <c r="E85">
        <v>49</v>
      </c>
      <c r="F85">
        <v>25</v>
      </c>
      <c r="G85">
        <v>418</v>
      </c>
      <c r="H85">
        <f t="shared" si="1"/>
        <v>49.428277777777772</v>
      </c>
      <c r="I85">
        <v>103.34183</v>
      </c>
      <c r="J85" s="5">
        <v>42133</v>
      </c>
      <c r="K85" t="s">
        <v>76</v>
      </c>
    </row>
    <row r="86" spans="1:11" x14ac:dyDescent="0.25">
      <c r="A86">
        <v>85</v>
      </c>
      <c r="B86">
        <v>159</v>
      </c>
      <c r="C86" t="s">
        <v>14</v>
      </c>
      <c r="D86" t="s">
        <v>11</v>
      </c>
      <c r="E86">
        <v>49</v>
      </c>
      <c r="F86">
        <v>24</v>
      </c>
      <c r="G86">
        <v>15</v>
      </c>
      <c r="H86">
        <f t="shared" si="1"/>
        <v>49.400416666666665</v>
      </c>
      <c r="I86">
        <v>103.38101</v>
      </c>
      <c r="J86" s="5">
        <v>42133</v>
      </c>
      <c r="K86" t="s">
        <v>76</v>
      </c>
    </row>
    <row r="87" spans="1:11" x14ac:dyDescent="0.25">
      <c r="A87">
        <v>86</v>
      </c>
      <c r="B87">
        <v>102</v>
      </c>
      <c r="C87" t="s">
        <v>14</v>
      </c>
      <c r="D87" t="s">
        <v>11</v>
      </c>
      <c r="E87">
        <v>49</v>
      </c>
      <c r="F87">
        <v>24</v>
      </c>
      <c r="G87">
        <v>148</v>
      </c>
      <c r="H87">
        <f t="shared" si="1"/>
        <v>49.404111111111106</v>
      </c>
      <c r="I87">
        <v>103.38095</v>
      </c>
      <c r="J87" s="5">
        <v>42133</v>
      </c>
      <c r="K87" t="s">
        <v>76</v>
      </c>
    </row>
    <row r="88" spans="1:11" x14ac:dyDescent="0.25">
      <c r="A88">
        <v>87</v>
      </c>
      <c r="B88">
        <v>204</v>
      </c>
      <c r="C88" t="s">
        <v>14</v>
      </c>
      <c r="D88" t="s">
        <v>8</v>
      </c>
      <c r="E88">
        <v>49</v>
      </c>
      <c r="F88">
        <v>23</v>
      </c>
      <c r="G88">
        <v>59</v>
      </c>
      <c r="H88">
        <f t="shared" si="1"/>
        <v>49.384972222222224</v>
      </c>
      <c r="I88">
        <v>103.37417000000001</v>
      </c>
      <c r="J88" s="5">
        <v>42133</v>
      </c>
      <c r="K88" t="s">
        <v>76</v>
      </c>
    </row>
    <row r="89" spans="1:11" x14ac:dyDescent="0.25">
      <c r="A89">
        <v>88</v>
      </c>
      <c r="B89">
        <v>157</v>
      </c>
      <c r="C89" t="s">
        <v>14</v>
      </c>
      <c r="D89" t="s">
        <v>11</v>
      </c>
      <c r="E89">
        <v>49</v>
      </c>
      <c r="F89">
        <v>27</v>
      </c>
      <c r="G89">
        <v>6</v>
      </c>
      <c r="H89">
        <f t="shared" si="1"/>
        <v>49.450166666666668</v>
      </c>
      <c r="I89">
        <v>103.27406999999999</v>
      </c>
      <c r="J89" s="5">
        <v>42134</v>
      </c>
      <c r="K89" t="s">
        <v>76</v>
      </c>
    </row>
    <row r="90" spans="1:11" x14ac:dyDescent="0.25">
      <c r="A90">
        <v>89</v>
      </c>
      <c r="B90">
        <v>154</v>
      </c>
      <c r="C90" t="s">
        <v>14</v>
      </c>
      <c r="D90" t="s">
        <v>11</v>
      </c>
      <c r="E90">
        <v>49</v>
      </c>
      <c r="F90">
        <v>26</v>
      </c>
      <c r="G90">
        <v>474</v>
      </c>
      <c r="H90">
        <f t="shared" si="1"/>
        <v>49.446499999999993</v>
      </c>
      <c r="I90">
        <v>103.28333000000001</v>
      </c>
      <c r="J90" s="5">
        <v>42134</v>
      </c>
      <c r="K90" t="s">
        <v>76</v>
      </c>
    </row>
    <row r="91" spans="1:11" x14ac:dyDescent="0.25">
      <c r="A91">
        <v>90</v>
      </c>
      <c r="B91">
        <v>155</v>
      </c>
      <c r="C91" t="s">
        <v>14</v>
      </c>
      <c r="D91" t="s">
        <v>11</v>
      </c>
      <c r="E91">
        <v>49</v>
      </c>
      <c r="F91">
        <v>25</v>
      </c>
      <c r="G91">
        <v>399</v>
      </c>
      <c r="H91">
        <f t="shared" si="1"/>
        <v>49.427749999999996</v>
      </c>
      <c r="I91">
        <v>103.30398</v>
      </c>
      <c r="J91" s="5">
        <v>42134</v>
      </c>
      <c r="K91" t="s">
        <v>76</v>
      </c>
    </row>
    <row r="92" spans="1:11" x14ac:dyDescent="0.25">
      <c r="A92">
        <v>91</v>
      </c>
      <c r="B92">
        <v>124</v>
      </c>
      <c r="C92" t="s">
        <v>14</v>
      </c>
      <c r="D92" t="s">
        <v>9</v>
      </c>
      <c r="E92">
        <v>49</v>
      </c>
      <c r="F92">
        <v>25</v>
      </c>
      <c r="G92">
        <v>424</v>
      </c>
      <c r="H92">
        <f t="shared" si="1"/>
        <v>49.428444444444445</v>
      </c>
      <c r="I92">
        <v>103.34193999999999</v>
      </c>
      <c r="J92" s="5">
        <v>42134</v>
      </c>
      <c r="K92" t="s">
        <v>76</v>
      </c>
    </row>
    <row r="93" spans="1:11" x14ac:dyDescent="0.25">
      <c r="A93">
        <v>92</v>
      </c>
      <c r="B93">
        <v>159</v>
      </c>
      <c r="C93" t="s">
        <v>14</v>
      </c>
      <c r="D93" t="s">
        <v>11</v>
      </c>
      <c r="E93">
        <v>49</v>
      </c>
      <c r="F93">
        <v>24</v>
      </c>
      <c r="G93">
        <v>151</v>
      </c>
      <c r="H93">
        <f t="shared" si="1"/>
        <v>49.404194444444443</v>
      </c>
      <c r="I93">
        <v>103.38113</v>
      </c>
      <c r="J93" s="5">
        <v>42134</v>
      </c>
      <c r="K93" t="s">
        <v>76</v>
      </c>
    </row>
    <row r="94" spans="1:11" x14ac:dyDescent="0.25">
      <c r="A94">
        <v>93</v>
      </c>
      <c r="B94">
        <v>204</v>
      </c>
      <c r="C94" t="s">
        <v>14</v>
      </c>
      <c r="D94" t="s">
        <v>8</v>
      </c>
      <c r="E94">
        <v>49</v>
      </c>
      <c r="F94">
        <v>23</v>
      </c>
      <c r="G94">
        <v>582</v>
      </c>
      <c r="H94">
        <f t="shared" si="1"/>
        <v>49.399499999999996</v>
      </c>
      <c r="I94">
        <v>103.37397</v>
      </c>
      <c r="J94" s="5">
        <v>42134</v>
      </c>
      <c r="K94" t="s">
        <v>76</v>
      </c>
    </row>
    <row r="95" spans="1:11" x14ac:dyDescent="0.25">
      <c r="A95">
        <v>94</v>
      </c>
      <c r="B95">
        <v>104</v>
      </c>
      <c r="C95" t="s">
        <v>14</v>
      </c>
      <c r="D95" t="s">
        <v>11</v>
      </c>
      <c r="E95">
        <v>49.692439999999998</v>
      </c>
      <c r="I95">
        <v>102.98595</v>
      </c>
      <c r="J95" s="5">
        <v>42166</v>
      </c>
      <c r="K95" t="s">
        <v>57</v>
      </c>
    </row>
    <row r="96" spans="1:11" x14ac:dyDescent="0.25">
      <c r="A96">
        <v>95</v>
      </c>
      <c r="B96">
        <v>133</v>
      </c>
      <c r="C96" t="s">
        <v>14</v>
      </c>
      <c r="D96" t="s">
        <v>11</v>
      </c>
      <c r="E96">
        <v>49.706099999999999</v>
      </c>
      <c r="I96">
        <v>103.10357999999999</v>
      </c>
      <c r="J96" s="5">
        <v>42166</v>
      </c>
    </row>
    <row r="97" spans="1:11" x14ac:dyDescent="0.25">
      <c r="A97">
        <v>96</v>
      </c>
      <c r="B97">
        <v>137</v>
      </c>
      <c r="C97" t="s">
        <v>14</v>
      </c>
      <c r="D97" t="s">
        <v>11</v>
      </c>
      <c r="E97">
        <v>49.70534</v>
      </c>
      <c r="I97">
        <v>103.10759</v>
      </c>
      <c r="J97" s="5">
        <v>42166</v>
      </c>
    </row>
    <row r="98" spans="1:11" x14ac:dyDescent="0.25">
      <c r="A98">
        <v>97</v>
      </c>
      <c r="B98">
        <v>105</v>
      </c>
      <c r="C98" t="s">
        <v>14</v>
      </c>
      <c r="D98" t="s">
        <v>11</v>
      </c>
      <c r="E98">
        <v>49.689639999999997</v>
      </c>
      <c r="I98">
        <v>103.05404</v>
      </c>
      <c r="J98" s="5">
        <v>42166</v>
      </c>
      <c r="K98" t="s">
        <v>55</v>
      </c>
    </row>
    <row r="99" spans="1:11" x14ac:dyDescent="0.25">
      <c r="A99">
        <v>98</v>
      </c>
      <c r="B99">
        <v>128</v>
      </c>
      <c r="C99" t="s">
        <v>14</v>
      </c>
      <c r="D99" t="s">
        <v>9</v>
      </c>
      <c r="E99">
        <v>49.434750000000001</v>
      </c>
      <c r="I99">
        <v>103.55743</v>
      </c>
      <c r="J99" s="5">
        <v>42166</v>
      </c>
      <c r="K99" t="s">
        <v>56</v>
      </c>
    </row>
    <row r="100" spans="1:11" x14ac:dyDescent="0.25">
      <c r="A100">
        <v>99</v>
      </c>
      <c r="B100">
        <v>150</v>
      </c>
      <c r="C100" t="s">
        <v>13</v>
      </c>
      <c r="D100" t="s">
        <v>8</v>
      </c>
      <c r="E100">
        <v>49.36356</v>
      </c>
      <c r="I100">
        <v>103.5403</v>
      </c>
      <c r="J100" s="5">
        <v>42168</v>
      </c>
    </row>
    <row r="101" spans="1:11" x14ac:dyDescent="0.25">
      <c r="A101">
        <v>100</v>
      </c>
      <c r="B101">
        <v>126</v>
      </c>
      <c r="C101" t="s">
        <v>69</v>
      </c>
      <c r="D101" t="s">
        <v>9</v>
      </c>
      <c r="E101">
        <v>49.388440000000003</v>
      </c>
      <c r="I101">
        <v>103.62363999999999</v>
      </c>
      <c r="J101" s="5">
        <v>42168</v>
      </c>
      <c r="K101" t="s">
        <v>70</v>
      </c>
    </row>
    <row r="102" spans="1:11" x14ac:dyDescent="0.25">
      <c r="A102">
        <v>101</v>
      </c>
      <c r="B102">
        <v>120</v>
      </c>
      <c r="C102" t="s">
        <v>14</v>
      </c>
      <c r="D102" t="s">
        <v>11</v>
      </c>
      <c r="E102">
        <v>49.605989999999998</v>
      </c>
      <c r="I102">
        <v>103.18223999999999</v>
      </c>
      <c r="J102" s="5">
        <v>42169</v>
      </c>
    </row>
    <row r="103" spans="1:11" x14ac:dyDescent="0.25">
      <c r="A103">
        <v>102</v>
      </c>
      <c r="B103">
        <v>134</v>
      </c>
      <c r="C103" t="s">
        <v>14</v>
      </c>
      <c r="D103" t="s">
        <v>11</v>
      </c>
      <c r="E103">
        <v>49.597880000000004</v>
      </c>
      <c r="I103">
        <v>103.21043</v>
      </c>
      <c r="J103" s="5">
        <v>42169</v>
      </c>
    </row>
    <row r="104" spans="1:11" x14ac:dyDescent="0.25">
      <c r="A104">
        <v>103</v>
      </c>
      <c r="B104">
        <v>158</v>
      </c>
      <c r="C104" t="s">
        <v>14</v>
      </c>
      <c r="D104" t="s">
        <v>11</v>
      </c>
      <c r="E104">
        <v>49.597450000000002</v>
      </c>
      <c r="I104">
        <v>103.21227</v>
      </c>
      <c r="J104" s="5">
        <v>42169</v>
      </c>
    </row>
    <row r="105" spans="1:11" x14ac:dyDescent="0.25">
      <c r="A105">
        <v>104</v>
      </c>
      <c r="B105">
        <v>154</v>
      </c>
      <c r="C105" t="s">
        <v>14</v>
      </c>
      <c r="D105" t="s">
        <v>11</v>
      </c>
      <c r="E105">
        <v>49.514479999999999</v>
      </c>
      <c r="I105">
        <v>103.32999</v>
      </c>
      <c r="J105" s="5">
        <v>42170</v>
      </c>
    </row>
    <row r="106" spans="1:11" x14ac:dyDescent="0.25">
      <c r="A106">
        <v>105</v>
      </c>
      <c r="B106">
        <v>157</v>
      </c>
      <c r="C106" t="s">
        <v>73</v>
      </c>
      <c r="D106" t="s">
        <v>11</v>
      </c>
      <c r="E106">
        <v>49.444310000000002</v>
      </c>
      <c r="I106">
        <v>103.48513</v>
      </c>
      <c r="J106" s="5">
        <v>42170</v>
      </c>
    </row>
    <row r="107" spans="1:11" x14ac:dyDescent="0.25">
      <c r="A107">
        <v>106</v>
      </c>
      <c r="B107">
        <v>155</v>
      </c>
      <c r="C107" t="s">
        <v>73</v>
      </c>
      <c r="D107" t="s">
        <v>11</v>
      </c>
      <c r="E107">
        <v>49.427329999999998</v>
      </c>
      <c r="I107">
        <v>103.51018000000001</v>
      </c>
      <c r="J107" s="5">
        <v>42170</v>
      </c>
    </row>
    <row r="108" spans="1:11" x14ac:dyDescent="0.25">
      <c r="A108">
        <v>107</v>
      </c>
      <c r="B108">
        <v>153</v>
      </c>
      <c r="C108" t="s">
        <v>73</v>
      </c>
      <c r="D108" t="s">
        <v>7</v>
      </c>
      <c r="E108">
        <v>49.42653</v>
      </c>
      <c r="I108">
        <v>103.51197000000001</v>
      </c>
      <c r="J108" s="5">
        <v>42170</v>
      </c>
    </row>
    <row r="109" spans="1:11" x14ac:dyDescent="0.25">
      <c r="A109">
        <v>108</v>
      </c>
      <c r="B109">
        <v>190</v>
      </c>
      <c r="C109" t="s">
        <v>73</v>
      </c>
      <c r="D109" t="s">
        <v>9</v>
      </c>
      <c r="E109">
        <v>49.434750000000001</v>
      </c>
      <c r="I109">
        <v>103.55743</v>
      </c>
      <c r="J109" s="5">
        <v>42167</v>
      </c>
      <c r="K10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Tracking_transects</vt:lpstr>
      <vt:lpstr>Transects_corrected</vt:lpstr>
      <vt:lpstr>relocations_corrected_GPS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</dc:creator>
  <cp:lastModifiedBy>Jon Hart</cp:lastModifiedBy>
  <dcterms:created xsi:type="dcterms:W3CDTF">2015-05-27T07:52:31Z</dcterms:created>
  <dcterms:modified xsi:type="dcterms:W3CDTF">2025-04-21T03:14:15Z</dcterms:modified>
</cp:coreProperties>
</file>